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DieseArbeitsmappe" defaultThemeVersion="202300"/>
  <mc:AlternateContent xmlns:mc="http://schemas.openxmlformats.org/markup-compatibility/2006">
    <mc:Choice Requires="x15">
      <x15ac:absPath xmlns:x15ac="http://schemas.microsoft.com/office/spreadsheetml/2010/11/ac" url="https://wika-my.sharepoint.com/personal/marcel_martin_wika_com/Documents/temp_alt/"/>
    </mc:Choice>
  </mc:AlternateContent>
  <xr:revisionPtr revIDLastSave="6" documentId="8_{FA38DE69-8B00-4409-8777-611D583A37D4}" xr6:coauthVersionLast="47" xr6:coauthVersionMax="47" xr10:uidLastSave="{2C639DB8-443E-452F-825C-33BEECBB13A6}"/>
  <bookViews>
    <workbookView xWindow="-120" yWindow="-120" windowWidth="29040" windowHeight="15720" xr2:uid="{69D73EB7-DE8A-4D74-99AB-F5B163DDA2CE}"/>
  </bookViews>
  <sheets>
    <sheet name="Koordinaten" sheetId="2" r:id="rId1"/>
    <sheet name="Erklärungen" sheetId="6" r:id="rId2"/>
    <sheet name="Flg Zeiten" sheetId="3" r:id="rId3"/>
    <sheet name="Tabelle1" sheetId="1" r:id="rId4"/>
    <sheet name="Tabelle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9" i="1" l="1"/>
  <c r="R6" i="2"/>
  <c r="BB395" i="1"/>
  <c r="BB396" i="1" s="1"/>
  <c r="BB397" i="1" s="1"/>
  <c r="BB398" i="1" s="1"/>
  <c r="BB399" i="1" s="1"/>
  <c r="BB400" i="1" s="1"/>
  <c r="BB244" i="1"/>
  <c r="BB245" i="1" s="1"/>
  <c r="BB246" i="1" s="1"/>
  <c r="BB247" i="1" s="1"/>
  <c r="BB248" i="1" s="1"/>
  <c r="BB249" i="1" s="1"/>
  <c r="BB250" i="1" s="1"/>
  <c r="BB251" i="1" s="1"/>
  <c r="BB252" i="1" s="1"/>
  <c r="BB253" i="1" s="1"/>
  <c r="BB254" i="1" s="1"/>
  <c r="BB255" i="1" s="1"/>
  <c r="BB256" i="1" s="1"/>
  <c r="BB257" i="1" s="1"/>
  <c r="BB258" i="1" s="1"/>
  <c r="BB259" i="1" s="1"/>
  <c r="BB260" i="1" s="1"/>
  <c r="BB261" i="1" s="1"/>
  <c r="BB262" i="1" s="1"/>
  <c r="BB263" i="1" s="1"/>
  <c r="BB264" i="1" s="1"/>
  <c r="BB265" i="1" s="1"/>
  <c r="BB266" i="1" s="1"/>
  <c r="BB267" i="1" s="1"/>
  <c r="BB268" i="1" s="1"/>
  <c r="BB269" i="1" s="1"/>
  <c r="BB270" i="1" s="1"/>
  <c r="BB271" i="1" s="1"/>
  <c r="BB272" i="1" s="1"/>
  <c r="BB273" i="1" s="1"/>
  <c r="BB274" i="1" s="1"/>
  <c r="BB275" i="1" s="1"/>
  <c r="BB276" i="1" s="1"/>
  <c r="BB277" i="1" s="1"/>
  <c r="BB278" i="1" s="1"/>
  <c r="BB279" i="1" s="1"/>
  <c r="BB280" i="1" s="1"/>
  <c r="BB281" i="1" s="1"/>
  <c r="BB282" i="1" s="1"/>
  <c r="BB283" i="1" s="1"/>
  <c r="BB284" i="1" s="1"/>
  <c r="BB285" i="1" s="1"/>
  <c r="BB286" i="1" s="1"/>
  <c r="BB287" i="1" s="1"/>
  <c r="BB288" i="1" s="1"/>
  <c r="BB289" i="1" s="1"/>
  <c r="BB290" i="1" s="1"/>
  <c r="BB291" i="1" s="1"/>
  <c r="BB292" i="1" s="1"/>
  <c r="BB293" i="1" s="1"/>
  <c r="BB294" i="1" s="1"/>
  <c r="BB295" i="1" s="1"/>
  <c r="BB296" i="1" s="1"/>
  <c r="BB297" i="1" s="1"/>
  <c r="BB298" i="1" s="1"/>
  <c r="BB299" i="1" s="1"/>
  <c r="BB300" i="1" s="1"/>
  <c r="BB301" i="1" s="1"/>
  <c r="BB302" i="1" s="1"/>
  <c r="BB303" i="1" s="1"/>
  <c r="BB304" i="1" s="1"/>
  <c r="BB305" i="1" s="1"/>
  <c r="BB306" i="1" s="1"/>
  <c r="BB307" i="1" s="1"/>
  <c r="BB308" i="1" s="1"/>
  <c r="BB309" i="1" s="1"/>
  <c r="BB310" i="1" s="1"/>
  <c r="BB311" i="1" s="1"/>
  <c r="BB312" i="1" s="1"/>
  <c r="BB313" i="1" s="1"/>
  <c r="BB314" i="1" s="1"/>
  <c r="BB315" i="1" s="1"/>
  <c r="BB316" i="1" s="1"/>
  <c r="BB317" i="1" s="1"/>
  <c r="BB318" i="1" s="1"/>
  <c r="BB319" i="1" s="1"/>
  <c r="BB320" i="1" s="1"/>
  <c r="BB321" i="1" s="1"/>
  <c r="BB322" i="1" s="1"/>
  <c r="BB323" i="1" s="1"/>
  <c r="BB324" i="1" s="1"/>
  <c r="BB325" i="1" s="1"/>
  <c r="BB326" i="1" s="1"/>
  <c r="BB327" i="1" s="1"/>
  <c r="BB328" i="1" s="1"/>
  <c r="BB329" i="1" s="1"/>
  <c r="BB330" i="1" s="1"/>
  <c r="BB331" i="1" s="1"/>
  <c r="BB332" i="1" s="1"/>
  <c r="BB333" i="1" s="1"/>
  <c r="BB334" i="1" s="1"/>
  <c r="BB335" i="1" s="1"/>
  <c r="BB336" i="1" s="1"/>
  <c r="BB337" i="1" s="1"/>
  <c r="BB338" i="1" s="1"/>
  <c r="BB339" i="1" s="1"/>
  <c r="BB340" i="1" s="1"/>
  <c r="BB341" i="1" s="1"/>
  <c r="BB342" i="1" s="1"/>
  <c r="BB343" i="1" s="1"/>
  <c r="BB344" i="1" s="1"/>
  <c r="BB345" i="1" s="1"/>
  <c r="BB346" i="1" s="1"/>
  <c r="BB347" i="1" s="1"/>
  <c r="BB348" i="1" s="1"/>
  <c r="BB349" i="1" s="1"/>
  <c r="BB350" i="1" s="1"/>
  <c r="BB351" i="1" s="1"/>
  <c r="BB352" i="1" s="1"/>
  <c r="BB353" i="1" s="1"/>
  <c r="BB354" i="1" s="1"/>
  <c r="BB355" i="1" s="1"/>
  <c r="BB356" i="1" s="1"/>
  <c r="BB357" i="1" s="1"/>
  <c r="BB358" i="1" s="1"/>
  <c r="BB359" i="1" s="1"/>
  <c r="BB360" i="1" s="1"/>
  <c r="BB361" i="1" s="1"/>
  <c r="BB362" i="1" s="1"/>
  <c r="BB363" i="1" s="1"/>
  <c r="BB364" i="1" s="1"/>
  <c r="BB365" i="1" s="1"/>
  <c r="BB366" i="1" s="1"/>
  <c r="BB367" i="1" s="1"/>
  <c r="BB368" i="1" s="1"/>
  <c r="BB369" i="1" s="1"/>
  <c r="BB370" i="1" s="1"/>
  <c r="BB371" i="1" s="1"/>
  <c r="BB372" i="1" s="1"/>
  <c r="BB373" i="1" s="1"/>
  <c r="BB374" i="1" s="1"/>
  <c r="BB375" i="1" s="1"/>
  <c r="BB376" i="1" s="1"/>
  <c r="BB377" i="1" s="1"/>
  <c r="BB378" i="1" s="1"/>
  <c r="BB379" i="1" s="1"/>
  <c r="BB380" i="1" s="1"/>
  <c r="BB381" i="1" s="1"/>
  <c r="BB382" i="1" s="1"/>
  <c r="BB383" i="1" s="1"/>
  <c r="BB384" i="1" s="1"/>
  <c r="BB385" i="1" s="1"/>
  <c r="BB386" i="1" s="1"/>
  <c r="BB387" i="1" s="1"/>
  <c r="BB388" i="1" s="1"/>
  <c r="BB389" i="1" s="1"/>
  <c r="BB390" i="1" s="1"/>
  <c r="BB391" i="1" s="1"/>
  <c r="BB392" i="1" s="1"/>
  <c r="BB393" i="1" s="1"/>
  <c r="BB394" i="1" s="1"/>
  <c r="BB87" i="1"/>
  <c r="BB88" i="1" s="1"/>
  <c r="BB89" i="1" s="1"/>
  <c r="BB90" i="1" s="1"/>
  <c r="BB91" i="1" s="1"/>
  <c r="BB92" i="1" s="1"/>
  <c r="BB93" i="1" s="1"/>
  <c r="BB94" i="1" s="1"/>
  <c r="BB95" i="1" s="1"/>
  <c r="BB96" i="1" s="1"/>
  <c r="BB97" i="1" s="1"/>
  <c r="BB98" i="1" s="1"/>
  <c r="BB99" i="1" s="1"/>
  <c r="BB100" i="1" s="1"/>
  <c r="BB101" i="1" s="1"/>
  <c r="BB102" i="1" s="1"/>
  <c r="BB103" i="1" s="1"/>
  <c r="BB104" i="1" s="1"/>
  <c r="BB105" i="1" s="1"/>
  <c r="BB106" i="1" s="1"/>
  <c r="BB107" i="1" s="1"/>
  <c r="BB108" i="1" s="1"/>
  <c r="BB109" i="1" s="1"/>
  <c r="BB110" i="1" s="1"/>
  <c r="BB111" i="1" s="1"/>
  <c r="BB112" i="1" s="1"/>
  <c r="BB113" i="1" s="1"/>
  <c r="BB114" i="1" s="1"/>
  <c r="BB115" i="1" s="1"/>
  <c r="BB116" i="1" s="1"/>
  <c r="BB117" i="1" s="1"/>
  <c r="BB118" i="1" s="1"/>
  <c r="BB119" i="1" s="1"/>
  <c r="BB120" i="1" s="1"/>
  <c r="BB121" i="1" s="1"/>
  <c r="BB122" i="1" s="1"/>
  <c r="BB123" i="1" s="1"/>
  <c r="BB124" i="1" s="1"/>
  <c r="BB125" i="1" s="1"/>
  <c r="BB126" i="1" s="1"/>
  <c r="BB127" i="1" s="1"/>
  <c r="BB128" i="1" s="1"/>
  <c r="BB129" i="1" s="1"/>
  <c r="BB130" i="1" s="1"/>
  <c r="BB131" i="1" s="1"/>
  <c r="BB132" i="1" s="1"/>
  <c r="BB133" i="1" s="1"/>
  <c r="BB134" i="1" s="1"/>
  <c r="BB135" i="1" s="1"/>
  <c r="BB136" i="1" s="1"/>
  <c r="BB137" i="1" s="1"/>
  <c r="BB138" i="1" s="1"/>
  <c r="BB139" i="1" s="1"/>
  <c r="BB140" i="1" s="1"/>
  <c r="BB141" i="1" s="1"/>
  <c r="BB142" i="1" s="1"/>
  <c r="BB143" i="1" s="1"/>
  <c r="BB144" i="1" s="1"/>
  <c r="BB145" i="1" s="1"/>
  <c r="BB146" i="1" s="1"/>
  <c r="BB147" i="1" s="1"/>
  <c r="BB148" i="1" s="1"/>
  <c r="BB149" i="1" s="1"/>
  <c r="BB150" i="1" s="1"/>
  <c r="BB151" i="1" s="1"/>
  <c r="BB152" i="1" s="1"/>
  <c r="BB153" i="1" s="1"/>
  <c r="BB154" i="1" s="1"/>
  <c r="BB155" i="1" s="1"/>
  <c r="BB156" i="1" s="1"/>
  <c r="BB157" i="1" s="1"/>
  <c r="BB158" i="1" s="1"/>
  <c r="BB159" i="1" s="1"/>
  <c r="BB160" i="1" s="1"/>
  <c r="BB161" i="1" s="1"/>
  <c r="BB162" i="1" s="1"/>
  <c r="BB163" i="1" s="1"/>
  <c r="BB164" i="1" s="1"/>
  <c r="BB165" i="1" s="1"/>
  <c r="BB166" i="1" s="1"/>
  <c r="BB167" i="1" s="1"/>
  <c r="BB168" i="1" s="1"/>
  <c r="BB169" i="1" s="1"/>
  <c r="BB170" i="1" s="1"/>
  <c r="BB171" i="1" s="1"/>
  <c r="BB172" i="1" s="1"/>
  <c r="BB173" i="1" s="1"/>
  <c r="BB174" i="1" s="1"/>
  <c r="BB175" i="1" s="1"/>
  <c r="BB176" i="1" s="1"/>
  <c r="BB177" i="1" s="1"/>
  <c r="BB178" i="1" s="1"/>
  <c r="BB179" i="1" s="1"/>
  <c r="BB180" i="1" s="1"/>
  <c r="BB181" i="1" s="1"/>
  <c r="BB182" i="1" s="1"/>
  <c r="BB183" i="1" s="1"/>
  <c r="BB184" i="1" s="1"/>
  <c r="BB185" i="1" s="1"/>
  <c r="BB186" i="1" s="1"/>
  <c r="BB187" i="1" s="1"/>
  <c r="BB188" i="1" s="1"/>
  <c r="BB189" i="1" s="1"/>
  <c r="BB190" i="1" s="1"/>
  <c r="BB191" i="1" s="1"/>
  <c r="BB192" i="1" s="1"/>
  <c r="BB193" i="1" s="1"/>
  <c r="BB194" i="1" s="1"/>
  <c r="BB195" i="1" s="1"/>
  <c r="BB196" i="1" s="1"/>
  <c r="BB197" i="1" s="1"/>
  <c r="BB198" i="1" s="1"/>
  <c r="BB199" i="1" s="1"/>
  <c r="BB200" i="1" s="1"/>
  <c r="BB201" i="1" s="1"/>
  <c r="BB202" i="1" s="1"/>
  <c r="BB203" i="1" s="1"/>
  <c r="BB204" i="1" s="1"/>
  <c r="BB205" i="1" s="1"/>
  <c r="BB206" i="1" s="1"/>
  <c r="BB207" i="1" s="1"/>
  <c r="BB208" i="1" s="1"/>
  <c r="BB209" i="1" s="1"/>
  <c r="BB210" i="1" s="1"/>
  <c r="BB211" i="1" s="1"/>
  <c r="BB212" i="1" s="1"/>
  <c r="BB213" i="1" s="1"/>
  <c r="BB214" i="1" s="1"/>
  <c r="BB215" i="1" s="1"/>
  <c r="BB216" i="1" s="1"/>
  <c r="BB217" i="1" s="1"/>
  <c r="BB218" i="1" s="1"/>
  <c r="BB219" i="1" s="1"/>
  <c r="BB220" i="1" s="1"/>
  <c r="BB221" i="1" s="1"/>
  <c r="BB222" i="1" s="1"/>
  <c r="BB223" i="1" s="1"/>
  <c r="BB224" i="1" s="1"/>
  <c r="BB225" i="1" s="1"/>
  <c r="BB226" i="1" s="1"/>
  <c r="BB227" i="1" s="1"/>
  <c r="BB228" i="1" s="1"/>
  <c r="BB229" i="1" s="1"/>
  <c r="BB230" i="1" s="1"/>
  <c r="BB231" i="1" s="1"/>
  <c r="BB232" i="1" s="1"/>
  <c r="BB233" i="1" s="1"/>
  <c r="BB234" i="1" s="1"/>
  <c r="BB235" i="1" s="1"/>
  <c r="BB236" i="1" s="1"/>
  <c r="BB237" i="1" s="1"/>
  <c r="BB238" i="1" s="1"/>
  <c r="BB239" i="1" s="1"/>
  <c r="BB240" i="1" s="1"/>
  <c r="BB241" i="1" s="1"/>
  <c r="BB242" i="1" s="1"/>
  <c r="BB243" i="1" s="1"/>
  <c r="BB43" i="1"/>
  <c r="BB44" i="1" s="1"/>
  <c r="BB45" i="1" s="1"/>
  <c r="BB46" i="1" s="1"/>
  <c r="BB47" i="1" s="1"/>
  <c r="BB48" i="1" s="1"/>
  <c r="BB49" i="1" s="1"/>
  <c r="BB50" i="1" s="1"/>
  <c r="BB51" i="1" s="1"/>
  <c r="BB52" i="1" s="1"/>
  <c r="BB53" i="1" s="1"/>
  <c r="BB54" i="1" s="1"/>
  <c r="BB55" i="1" s="1"/>
  <c r="BB56" i="1" s="1"/>
  <c r="BB57" i="1" s="1"/>
  <c r="BB58" i="1" s="1"/>
  <c r="BB59" i="1" s="1"/>
  <c r="BB60" i="1" s="1"/>
  <c r="BB61" i="1" s="1"/>
  <c r="BB62" i="1" s="1"/>
  <c r="BB63" i="1" s="1"/>
  <c r="BB64" i="1" s="1"/>
  <c r="BB65" i="1" s="1"/>
  <c r="BB66" i="1" s="1"/>
  <c r="BB67" i="1" s="1"/>
  <c r="BB68" i="1" s="1"/>
  <c r="BB69" i="1" s="1"/>
  <c r="BB70" i="1" s="1"/>
  <c r="BB71" i="1" s="1"/>
  <c r="BB72" i="1" s="1"/>
  <c r="BB73" i="1" s="1"/>
  <c r="BB74" i="1" s="1"/>
  <c r="BB75" i="1" s="1"/>
  <c r="BB76" i="1" s="1"/>
  <c r="BB77" i="1" s="1"/>
  <c r="BB78" i="1" s="1"/>
  <c r="BB79" i="1" s="1"/>
  <c r="BB80" i="1" s="1"/>
  <c r="BB81" i="1" s="1"/>
  <c r="BB82" i="1" s="1"/>
  <c r="BB83" i="1" s="1"/>
  <c r="BB84" i="1" s="1"/>
  <c r="BB85" i="1" s="1"/>
  <c r="BB86" i="1" s="1"/>
  <c r="BB42" i="1"/>
  <c r="AT44" i="1"/>
  <c r="AU44" i="1" s="1"/>
  <c r="AT43" i="1"/>
  <c r="AT42" i="1"/>
  <c r="AV42" i="1" s="1"/>
  <c r="AT41" i="1"/>
  <c r="AU41" i="1" s="1"/>
  <c r="AT40" i="1"/>
  <c r="AV40" i="1" s="1"/>
  <c r="AV34" i="1"/>
  <c r="AU34" i="1"/>
  <c r="AT34" i="1"/>
  <c r="F6" i="2"/>
  <c r="F5" i="2"/>
  <c r="AV41" i="1" l="1"/>
  <c r="AU42" i="1"/>
  <c r="AU40" i="1"/>
  <c r="AV44" i="1"/>
  <c r="AV43" i="1"/>
  <c r="AU43" i="1"/>
  <c r="AU39" i="1"/>
  <c r="AW34" i="1"/>
  <c r="E21" i="2"/>
  <c r="E22" i="2" s="1"/>
  <c r="F27" i="2"/>
  <c r="AP8" i="1"/>
  <c r="AQ18" i="1"/>
  <c r="AP18" i="1"/>
  <c r="AQ16" i="1"/>
  <c r="AP16" i="1"/>
  <c r="AW16" i="1" s="1"/>
  <c r="AQ14" i="1"/>
  <c r="AP14" i="1"/>
  <c r="AQ12" i="1"/>
  <c r="AX12" i="1" s="1"/>
  <c r="AP12" i="1"/>
  <c r="AQ10" i="1"/>
  <c r="AX10" i="1" s="1"/>
  <c r="AP10" i="1"/>
  <c r="AQ8" i="1"/>
  <c r="AX8" i="1" s="1"/>
  <c r="AQ6" i="1"/>
  <c r="AX6" i="1" s="1"/>
  <c r="BE6" i="1" s="1"/>
  <c r="BL6" i="1" s="1"/>
  <c r="BS6" i="1" s="1"/>
  <c r="BZ6" i="1" s="1"/>
  <c r="CG6" i="1" s="1"/>
  <c r="AP6" i="1"/>
  <c r="AQ4" i="1"/>
  <c r="AP4" i="1"/>
  <c r="H12" i="1"/>
  <c r="H11" i="1"/>
  <c r="E14" i="2"/>
  <c r="H4" i="1" s="1"/>
  <c r="AE15" i="1"/>
  <c r="AG15" i="1"/>
  <c r="AE14" i="1"/>
  <c r="AG14" i="1"/>
  <c r="AD13" i="1"/>
  <c r="AF13" i="1"/>
  <c r="H15" i="1"/>
  <c r="H14" i="1"/>
  <c r="H13" i="1"/>
  <c r="AD12" i="1"/>
  <c r="AF12" i="1"/>
  <c r="AG12" i="1"/>
  <c r="AD11" i="1"/>
  <c r="AF11" i="1"/>
  <c r="D4" i="3"/>
  <c r="D5" i="3" s="1"/>
  <c r="D6" i="3" s="1"/>
  <c r="D7" i="3" s="1"/>
  <c r="D8" i="3" s="1"/>
  <c r="D9" i="3" s="1"/>
  <c r="D10" i="3" s="1"/>
  <c r="D11" i="3" s="1"/>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C4" i="3"/>
  <c r="C5" i="3" s="1"/>
  <c r="C6" i="3" s="1"/>
  <c r="C7" i="3" s="1"/>
  <c r="C8" i="3" s="1"/>
  <c r="C9" i="3" s="1"/>
  <c r="C10" i="3" s="1"/>
  <c r="C11" i="3" s="1"/>
  <c r="C12" i="3" s="1"/>
  <c r="C13" i="3" s="1"/>
  <c r="C14" i="3" s="1"/>
  <c r="C15" i="3" s="1"/>
  <c r="C16" i="3" s="1"/>
  <c r="C17" i="3" s="1"/>
  <c r="C18" i="3" s="1"/>
  <c r="C19" i="3" s="1"/>
  <c r="C20" i="3" s="1"/>
  <c r="C21" i="3" s="1"/>
  <c r="C22" i="3" s="1"/>
  <c r="C23" i="3" s="1"/>
  <c r="C24" i="3" s="1"/>
  <c r="C25" i="3" s="1"/>
  <c r="C26" i="3" s="1"/>
  <c r="C27" i="3" s="1"/>
  <c r="C28" i="3" s="1"/>
  <c r="C29" i="3" s="1"/>
  <c r="C30" i="3" s="1"/>
  <c r="C31" i="3" s="1"/>
  <c r="C32" i="3" s="1"/>
  <c r="C33" i="3" s="1"/>
  <c r="C34" i="3" s="1"/>
  <c r="C35" i="3" s="1"/>
  <c r="AH8" i="1"/>
  <c r="AF8" i="1"/>
  <c r="AD8" i="1"/>
  <c r="AH7" i="1"/>
  <c r="AF7" i="1"/>
  <c r="AD7" i="1"/>
  <c r="AH6" i="1"/>
  <c r="AD6" i="1"/>
  <c r="AG5" i="1"/>
  <c r="AF5" i="1"/>
  <c r="AE5" i="1"/>
  <c r="AD5" i="1"/>
  <c r="AG4" i="1"/>
  <c r="AE4" i="1"/>
  <c r="AD4" i="1"/>
  <c r="AF71" i="1"/>
  <c r="AJ96" i="1"/>
  <c r="AH96" i="1"/>
  <c r="AJ95" i="1"/>
  <c r="AH95" i="1"/>
  <c r="AJ94" i="1"/>
  <c r="AH94" i="1"/>
  <c r="AJ93" i="1"/>
  <c r="AH93" i="1"/>
  <c r="AJ92" i="1"/>
  <c r="AH92" i="1"/>
  <c r="AJ91" i="1"/>
  <c r="AH91" i="1"/>
  <c r="AJ90" i="1"/>
  <c r="AH90" i="1"/>
  <c r="AJ89" i="1"/>
  <c r="AH89" i="1"/>
  <c r="AJ88" i="1"/>
  <c r="AH88" i="1"/>
  <c r="AJ87" i="1"/>
  <c r="AH87" i="1"/>
  <c r="AJ86" i="1"/>
  <c r="AH86" i="1"/>
  <c r="AJ85" i="1"/>
  <c r="AH85" i="1"/>
  <c r="AJ84" i="1"/>
  <c r="AH84" i="1"/>
  <c r="AJ83" i="1"/>
  <c r="AH83" i="1"/>
  <c r="AJ82" i="1"/>
  <c r="AH82" i="1"/>
  <c r="AJ81" i="1"/>
  <c r="AH81" i="1"/>
  <c r="AJ80" i="1"/>
  <c r="AH80" i="1"/>
  <c r="AJ79" i="1"/>
  <c r="AH79" i="1"/>
  <c r="AJ78" i="1"/>
  <c r="AH78" i="1"/>
  <c r="AJ77" i="1"/>
  <c r="AH77" i="1"/>
  <c r="AJ76" i="1"/>
  <c r="AH76" i="1"/>
  <c r="AJ75" i="1"/>
  <c r="AH75" i="1"/>
  <c r="AJ74" i="1"/>
  <c r="AH74" i="1"/>
  <c r="AJ73" i="1"/>
  <c r="AH73" i="1"/>
  <c r="AJ72" i="1"/>
  <c r="AH72" i="1"/>
  <c r="AH71" i="1"/>
  <c r="AJ71" i="1"/>
  <c r="AH70" i="1"/>
  <c r="AH69" i="1"/>
  <c r="AH68" i="1"/>
  <c r="AH67" i="1"/>
  <c r="AH66" i="1"/>
  <c r="AH65" i="1"/>
  <c r="AH64" i="1"/>
  <c r="AH63" i="1"/>
  <c r="AH62" i="1"/>
  <c r="AH61" i="1"/>
  <c r="AH60" i="1"/>
  <c r="AH59" i="1"/>
  <c r="AH58" i="1"/>
  <c r="AH57" i="1"/>
  <c r="AH56" i="1"/>
  <c r="AH55" i="1"/>
  <c r="AH54" i="1"/>
  <c r="AH53" i="1"/>
  <c r="AH52" i="1"/>
  <c r="AH51" i="1"/>
  <c r="AH50" i="1"/>
  <c r="AF50" i="1"/>
  <c r="AJ50" i="1"/>
  <c r="AF36" i="1"/>
  <c r="AJ36" i="1"/>
  <c r="AF37" i="1"/>
  <c r="AJ37" i="1"/>
  <c r="AF38" i="1"/>
  <c r="AJ38" i="1"/>
  <c r="AF39" i="1"/>
  <c r="AJ39" i="1"/>
  <c r="AF40" i="1"/>
  <c r="AJ40" i="1"/>
  <c r="AF41" i="1"/>
  <c r="AJ41" i="1"/>
  <c r="AF42" i="1"/>
  <c r="AJ42" i="1"/>
  <c r="AF43" i="1"/>
  <c r="AJ43" i="1"/>
  <c r="AF44" i="1"/>
  <c r="AJ44" i="1"/>
  <c r="AF45" i="1"/>
  <c r="AJ45" i="1"/>
  <c r="AF46" i="1"/>
  <c r="AJ46" i="1"/>
  <c r="AF47" i="1"/>
  <c r="AJ47" i="1"/>
  <c r="AF48" i="1"/>
  <c r="AJ48" i="1"/>
  <c r="AF49" i="1"/>
  <c r="AJ49" i="1"/>
  <c r="AF35" i="1"/>
  <c r="AJ35" i="1"/>
  <c r="C26" i="1"/>
  <c r="C35" i="1"/>
  <c r="C50" i="1"/>
  <c r="C71" i="1"/>
  <c r="C18" i="1"/>
  <c r="AE27" i="1"/>
  <c r="AE28" i="1" s="1"/>
  <c r="AE29" i="1" s="1"/>
  <c r="AE30" i="1" s="1"/>
  <c r="AE31" i="1" s="1"/>
  <c r="AE32" i="1" s="1"/>
  <c r="AE33" i="1" s="1"/>
  <c r="AE34" i="1" s="1"/>
  <c r="AH19" i="1"/>
  <c r="AH20" i="1" s="1"/>
  <c r="AH21" i="1" s="1"/>
  <c r="AH22" i="1" s="1"/>
  <c r="AH23" i="1" s="1"/>
  <c r="AH24" i="1" s="1"/>
  <c r="AH25" i="1" s="1"/>
  <c r="AE19" i="1"/>
  <c r="AE20" i="1" s="1"/>
  <c r="AE21" i="1" s="1"/>
  <c r="AE22" i="1" s="1"/>
  <c r="AE23" i="1" s="1"/>
  <c r="AE24" i="1" s="1"/>
  <c r="AE25" i="1" s="1"/>
  <c r="AF26" i="1"/>
  <c r="AF27" i="1" s="1"/>
  <c r="AF28" i="1" s="1"/>
  <c r="AF29" i="1" s="1"/>
  <c r="AF30" i="1" s="1"/>
  <c r="AF31" i="1" s="1"/>
  <c r="AF32" i="1" s="1"/>
  <c r="AF33" i="1" s="1"/>
  <c r="AF34" i="1" s="1"/>
  <c r="AG26" i="1"/>
  <c r="AG27" i="1" s="1"/>
  <c r="AG28" i="1" s="1"/>
  <c r="AG29" i="1" s="1"/>
  <c r="AG30" i="1" s="1"/>
  <c r="AG31" i="1" s="1"/>
  <c r="AG32" i="1" s="1"/>
  <c r="AG33" i="1" s="1"/>
  <c r="AG34" i="1" s="1"/>
  <c r="AH26" i="1"/>
  <c r="AH27" i="1" s="1"/>
  <c r="AH28" i="1" s="1"/>
  <c r="AH29" i="1" s="1"/>
  <c r="AH30" i="1" s="1"/>
  <c r="AH31" i="1" s="1"/>
  <c r="AH32" i="1" s="1"/>
  <c r="AH33" i="1" s="1"/>
  <c r="AH34" i="1" s="1"/>
  <c r="AI26" i="1"/>
  <c r="AI27" i="1" s="1"/>
  <c r="AI28" i="1" s="1"/>
  <c r="AI29" i="1" s="1"/>
  <c r="AI30" i="1" s="1"/>
  <c r="AI31" i="1" s="1"/>
  <c r="AI32" i="1" s="1"/>
  <c r="AI33" i="1" s="1"/>
  <c r="AI34" i="1" s="1"/>
  <c r="AF18" i="1"/>
  <c r="AF19" i="1" s="1"/>
  <c r="AF20" i="1" s="1"/>
  <c r="AF21" i="1" s="1"/>
  <c r="AF22" i="1" s="1"/>
  <c r="AF23" i="1" s="1"/>
  <c r="AF24" i="1" s="1"/>
  <c r="AF25" i="1" s="1"/>
  <c r="AG18" i="1"/>
  <c r="AG19" i="1" s="1"/>
  <c r="AG20" i="1" s="1"/>
  <c r="AG21" i="1" s="1"/>
  <c r="AG22" i="1" s="1"/>
  <c r="AG23" i="1" s="1"/>
  <c r="AG24" i="1" s="1"/>
  <c r="AG25" i="1" s="1"/>
  <c r="AI18" i="1"/>
  <c r="AI19" i="1" s="1"/>
  <c r="AI20" i="1" s="1"/>
  <c r="E27" i="1"/>
  <c r="E28" i="1" s="1"/>
  <c r="E29" i="1" s="1"/>
  <c r="E30" i="1" s="1"/>
  <c r="E31" i="1" s="1"/>
  <c r="E32" i="1" s="1"/>
  <c r="E33" i="1" s="1"/>
  <c r="E34" i="1" s="1"/>
  <c r="E36" i="1" s="1"/>
  <c r="E37" i="1" s="1"/>
  <c r="E38" i="1" s="1"/>
  <c r="E39" i="1" s="1"/>
  <c r="E40" i="1" s="1"/>
  <c r="E41" i="1" s="1"/>
  <c r="E42" i="1" s="1"/>
  <c r="E43" i="1" s="1"/>
  <c r="E44" i="1" s="1"/>
  <c r="E45" i="1" s="1"/>
  <c r="E46" i="1" s="1"/>
  <c r="E47" i="1" s="1"/>
  <c r="E48" i="1" s="1"/>
  <c r="E49" i="1" s="1"/>
  <c r="E51" i="1" s="1"/>
  <c r="E52" i="1" s="1"/>
  <c r="E53" i="1" s="1"/>
  <c r="E54" i="1" s="1"/>
  <c r="E55" i="1" s="1"/>
  <c r="E56" i="1" s="1"/>
  <c r="E57" i="1" s="1"/>
  <c r="E58" i="1" s="1"/>
  <c r="E59" i="1" s="1"/>
  <c r="E60" i="1" s="1"/>
  <c r="E61" i="1" s="1"/>
  <c r="E62" i="1" s="1"/>
  <c r="E63" i="1" s="1"/>
  <c r="E64" i="1" s="1"/>
  <c r="E65" i="1" s="1"/>
  <c r="E66" i="1" s="1"/>
  <c r="E67" i="1" s="1"/>
  <c r="E68" i="1" s="1"/>
  <c r="E69" i="1" s="1"/>
  <c r="E70" i="1" s="1"/>
  <c r="E72" i="1" s="1"/>
  <c r="E73" i="1" s="1"/>
  <c r="E74" i="1" s="1"/>
  <c r="E75" i="1" s="1"/>
  <c r="E76" i="1" s="1"/>
  <c r="E77" i="1" s="1"/>
  <c r="E78" i="1" s="1"/>
  <c r="E79" i="1" s="1"/>
  <c r="E80" i="1" s="1"/>
  <c r="E81" i="1" s="1"/>
  <c r="E82" i="1" s="1"/>
  <c r="E83" i="1" s="1"/>
  <c r="E84" i="1" s="1"/>
  <c r="E85" i="1" s="1"/>
  <c r="E86" i="1" s="1"/>
  <c r="E87" i="1" s="1"/>
  <c r="E88" i="1" s="1"/>
  <c r="E89" i="1" s="1"/>
  <c r="E90" i="1" s="1"/>
  <c r="E91" i="1" s="1"/>
  <c r="E92" i="1" s="1"/>
  <c r="E93" i="1" s="1"/>
  <c r="E94" i="1" s="1"/>
  <c r="E95" i="1" s="1"/>
  <c r="E96" i="1" s="1"/>
  <c r="C96" i="1" s="1"/>
  <c r="D44" i="1"/>
  <c r="D45" i="1" s="1"/>
  <c r="D46" i="1" s="1"/>
  <c r="D47" i="1" s="1"/>
  <c r="D48" i="1" s="1"/>
  <c r="D49" i="1" s="1"/>
  <c r="D27" i="1"/>
  <c r="D28" i="1" s="1"/>
  <c r="D29" i="1" s="1"/>
  <c r="D30" i="1" s="1"/>
  <c r="D31" i="1" s="1"/>
  <c r="D32" i="1" s="1"/>
  <c r="D33" i="1" s="1"/>
  <c r="D34" i="1" s="1"/>
  <c r="D36" i="1" s="1"/>
  <c r="D37" i="1" s="1"/>
  <c r="D38" i="1" s="1"/>
  <c r="D39" i="1" s="1"/>
  <c r="D40" i="1" s="1"/>
  <c r="D41" i="1" s="1"/>
  <c r="D42" i="1" s="1"/>
  <c r="D19" i="1"/>
  <c r="D20" i="1" s="1"/>
  <c r="D21" i="1" s="1"/>
  <c r="D22" i="1" s="1"/>
  <c r="D23" i="1" s="1"/>
  <c r="D24" i="1" s="1"/>
  <c r="D25" i="1" s="1"/>
  <c r="E19" i="1"/>
  <c r="E20" i="1" s="1"/>
  <c r="E21" i="1" s="1"/>
  <c r="E22" i="1" s="1"/>
  <c r="E23" i="1" s="1"/>
  <c r="E24" i="1" s="1"/>
  <c r="E25" i="1" s="1"/>
  <c r="C25" i="1" s="1"/>
  <c r="BD45" i="1" l="1"/>
  <c r="BF45" i="1" s="1"/>
  <c r="BD51" i="1"/>
  <c r="BF51" i="1" s="1"/>
  <c r="BD57" i="1"/>
  <c r="BF57" i="1" s="1"/>
  <c r="BD63" i="1"/>
  <c r="BF63" i="1" s="1"/>
  <c r="BD69" i="1"/>
  <c r="BF69" i="1" s="1"/>
  <c r="BD75" i="1"/>
  <c r="BF75" i="1" s="1"/>
  <c r="BD81" i="1"/>
  <c r="BF81" i="1" s="1"/>
  <c r="BD87" i="1"/>
  <c r="BF87" i="1" s="1"/>
  <c r="BD93" i="1"/>
  <c r="BF93" i="1" s="1"/>
  <c r="BD99" i="1"/>
  <c r="BF99" i="1" s="1"/>
  <c r="BD105" i="1"/>
  <c r="BF105" i="1" s="1"/>
  <c r="BD111" i="1"/>
  <c r="BF111" i="1" s="1"/>
  <c r="BD117" i="1"/>
  <c r="BF117" i="1" s="1"/>
  <c r="BD123" i="1"/>
  <c r="BF123" i="1" s="1"/>
  <c r="BD129" i="1"/>
  <c r="BF129" i="1" s="1"/>
  <c r="BD135" i="1"/>
  <c r="BF135" i="1" s="1"/>
  <c r="BD141" i="1"/>
  <c r="BF141" i="1" s="1"/>
  <c r="BD147" i="1"/>
  <c r="BF147" i="1" s="1"/>
  <c r="BD153" i="1"/>
  <c r="BF153" i="1" s="1"/>
  <c r="BD159" i="1"/>
  <c r="BF159" i="1" s="1"/>
  <c r="BD165" i="1"/>
  <c r="BF165" i="1" s="1"/>
  <c r="BD171" i="1"/>
  <c r="BF171" i="1" s="1"/>
  <c r="BD177" i="1"/>
  <c r="BF177" i="1" s="1"/>
  <c r="BC46" i="1"/>
  <c r="BE46" i="1" s="1"/>
  <c r="BC52" i="1"/>
  <c r="BE52" i="1" s="1"/>
  <c r="BC58" i="1"/>
  <c r="BE58" i="1" s="1"/>
  <c r="BC64" i="1"/>
  <c r="BE64" i="1" s="1"/>
  <c r="BC70" i="1"/>
  <c r="BE70" i="1" s="1"/>
  <c r="BC76" i="1"/>
  <c r="BE76" i="1" s="1"/>
  <c r="BC82" i="1"/>
  <c r="BE82" i="1" s="1"/>
  <c r="BC88" i="1"/>
  <c r="BE88" i="1" s="1"/>
  <c r="BC94" i="1"/>
  <c r="BE94" i="1" s="1"/>
  <c r="BC100" i="1"/>
  <c r="BE100" i="1" s="1"/>
  <c r="BC106" i="1"/>
  <c r="BE106" i="1" s="1"/>
  <c r="BC112" i="1"/>
  <c r="BE112" i="1" s="1"/>
  <c r="BC118" i="1"/>
  <c r="BE118" i="1" s="1"/>
  <c r="BC124" i="1"/>
  <c r="BE124" i="1" s="1"/>
  <c r="BC130" i="1"/>
  <c r="BE130" i="1" s="1"/>
  <c r="BC136" i="1"/>
  <c r="BE136" i="1" s="1"/>
  <c r="BC142" i="1"/>
  <c r="BE142" i="1" s="1"/>
  <c r="BC148" i="1"/>
  <c r="BE148" i="1" s="1"/>
  <c r="BC154" i="1"/>
  <c r="BE154" i="1" s="1"/>
  <c r="BC160" i="1"/>
  <c r="BE160" i="1" s="1"/>
  <c r="BC166" i="1"/>
  <c r="BE166" i="1" s="1"/>
  <c r="BC172" i="1"/>
  <c r="BE172" i="1" s="1"/>
  <c r="BC178" i="1"/>
  <c r="BE178" i="1" s="1"/>
  <c r="BD46" i="1"/>
  <c r="BF46" i="1" s="1"/>
  <c r="BD52" i="1"/>
  <c r="BF52" i="1" s="1"/>
  <c r="BD58" i="1"/>
  <c r="BF58" i="1" s="1"/>
  <c r="BD64" i="1"/>
  <c r="BF64" i="1" s="1"/>
  <c r="BD70" i="1"/>
  <c r="BF70" i="1" s="1"/>
  <c r="BD76" i="1"/>
  <c r="BF76" i="1" s="1"/>
  <c r="BD82" i="1"/>
  <c r="BF82" i="1" s="1"/>
  <c r="BD88" i="1"/>
  <c r="BF88" i="1" s="1"/>
  <c r="BD94" i="1"/>
  <c r="BF94" i="1" s="1"/>
  <c r="BD100" i="1"/>
  <c r="BF100" i="1" s="1"/>
  <c r="BD106" i="1"/>
  <c r="BF106" i="1" s="1"/>
  <c r="BD112" i="1"/>
  <c r="BF112" i="1" s="1"/>
  <c r="BD118" i="1"/>
  <c r="BF118" i="1" s="1"/>
  <c r="BD124" i="1"/>
  <c r="BF124" i="1" s="1"/>
  <c r="BD130" i="1"/>
  <c r="BF130" i="1" s="1"/>
  <c r="BD136" i="1"/>
  <c r="BF136" i="1" s="1"/>
  <c r="BD142" i="1"/>
  <c r="BF142" i="1" s="1"/>
  <c r="BD148" i="1"/>
  <c r="BF148" i="1" s="1"/>
  <c r="BD154" i="1"/>
  <c r="BF154" i="1" s="1"/>
  <c r="BD160" i="1"/>
  <c r="BF160" i="1" s="1"/>
  <c r="BD166" i="1"/>
  <c r="BF166" i="1" s="1"/>
  <c r="BD172" i="1"/>
  <c r="BF172" i="1" s="1"/>
  <c r="BC47" i="1"/>
  <c r="BE47" i="1" s="1"/>
  <c r="BC53" i="1"/>
  <c r="BE53" i="1" s="1"/>
  <c r="BC59" i="1"/>
  <c r="BE59" i="1" s="1"/>
  <c r="BC65" i="1"/>
  <c r="BE65" i="1" s="1"/>
  <c r="BC71" i="1"/>
  <c r="BE71" i="1" s="1"/>
  <c r="BC77" i="1"/>
  <c r="BE77" i="1" s="1"/>
  <c r="BC83" i="1"/>
  <c r="BE83" i="1" s="1"/>
  <c r="BC89" i="1"/>
  <c r="BE89" i="1" s="1"/>
  <c r="BC95" i="1"/>
  <c r="BE95" i="1" s="1"/>
  <c r="BC101" i="1"/>
  <c r="BE101" i="1" s="1"/>
  <c r="BC107" i="1"/>
  <c r="BE107" i="1" s="1"/>
  <c r="BC113" i="1"/>
  <c r="BE113" i="1" s="1"/>
  <c r="BC119" i="1"/>
  <c r="BE119" i="1" s="1"/>
  <c r="BC125" i="1"/>
  <c r="BE125" i="1" s="1"/>
  <c r="BC131" i="1"/>
  <c r="BE131" i="1" s="1"/>
  <c r="BC137" i="1"/>
  <c r="BE137" i="1" s="1"/>
  <c r="BC143" i="1"/>
  <c r="BE143" i="1" s="1"/>
  <c r="BC149" i="1"/>
  <c r="BE149" i="1" s="1"/>
  <c r="BC155" i="1"/>
  <c r="BE155" i="1" s="1"/>
  <c r="BC161" i="1"/>
  <c r="BE161" i="1" s="1"/>
  <c r="BC167" i="1"/>
  <c r="BE167" i="1" s="1"/>
  <c r="BC173" i="1"/>
  <c r="BE173" i="1" s="1"/>
  <c r="BC179" i="1"/>
  <c r="BE179" i="1" s="1"/>
  <c r="BC185" i="1"/>
  <c r="BE185" i="1" s="1"/>
  <c r="BC191" i="1"/>
  <c r="BE191" i="1" s="1"/>
  <c r="BC48" i="1"/>
  <c r="BE48" i="1" s="1"/>
  <c r="BC56" i="1"/>
  <c r="BE56" i="1" s="1"/>
  <c r="BC66" i="1"/>
  <c r="BE66" i="1" s="1"/>
  <c r="BC74" i="1"/>
  <c r="BE74" i="1" s="1"/>
  <c r="BC84" i="1"/>
  <c r="BE84" i="1" s="1"/>
  <c r="BC92" i="1"/>
  <c r="BE92" i="1" s="1"/>
  <c r="BC102" i="1"/>
  <c r="BE102" i="1" s="1"/>
  <c r="BC110" i="1"/>
  <c r="BE110" i="1" s="1"/>
  <c r="BC120" i="1"/>
  <c r="BE120" i="1" s="1"/>
  <c r="BC128" i="1"/>
  <c r="BE128" i="1" s="1"/>
  <c r="BC138" i="1"/>
  <c r="BE138" i="1" s="1"/>
  <c r="BC146" i="1"/>
  <c r="BE146" i="1" s="1"/>
  <c r="BC156" i="1"/>
  <c r="BE156" i="1" s="1"/>
  <c r="BC164" i="1"/>
  <c r="BE164" i="1" s="1"/>
  <c r="BC174" i="1"/>
  <c r="BE174" i="1" s="1"/>
  <c r="BD48" i="1"/>
  <c r="BF48" i="1" s="1"/>
  <c r="BD56" i="1"/>
  <c r="BF56" i="1" s="1"/>
  <c r="BD66" i="1"/>
  <c r="BF66" i="1" s="1"/>
  <c r="BD74" i="1"/>
  <c r="BF74" i="1" s="1"/>
  <c r="BD84" i="1"/>
  <c r="BF84" i="1" s="1"/>
  <c r="BD92" i="1"/>
  <c r="BF92" i="1" s="1"/>
  <c r="BD102" i="1"/>
  <c r="BF102" i="1" s="1"/>
  <c r="BD110" i="1"/>
  <c r="BF110" i="1" s="1"/>
  <c r="BD120" i="1"/>
  <c r="BF120" i="1" s="1"/>
  <c r="BD128" i="1"/>
  <c r="BF128" i="1" s="1"/>
  <c r="BD138" i="1"/>
  <c r="BF138" i="1" s="1"/>
  <c r="BD146" i="1"/>
  <c r="BF146" i="1" s="1"/>
  <c r="BD156" i="1"/>
  <c r="BF156" i="1" s="1"/>
  <c r="BD164" i="1"/>
  <c r="BF164" i="1" s="1"/>
  <c r="BD174" i="1"/>
  <c r="BF174" i="1" s="1"/>
  <c r="BC182" i="1"/>
  <c r="BE182" i="1" s="1"/>
  <c r="BD188" i="1"/>
  <c r="BF188" i="1" s="1"/>
  <c r="BC195" i="1"/>
  <c r="BE195" i="1" s="1"/>
  <c r="BC201" i="1"/>
  <c r="BE201" i="1" s="1"/>
  <c r="BC207" i="1"/>
  <c r="BE207" i="1" s="1"/>
  <c r="BC213" i="1"/>
  <c r="BE213" i="1" s="1"/>
  <c r="BC219" i="1"/>
  <c r="BE219" i="1" s="1"/>
  <c r="BC225" i="1"/>
  <c r="BE225" i="1" s="1"/>
  <c r="BC231" i="1"/>
  <c r="BE231" i="1" s="1"/>
  <c r="BC237" i="1"/>
  <c r="BE237" i="1" s="1"/>
  <c r="BC243" i="1"/>
  <c r="BE243" i="1" s="1"/>
  <c r="BC249" i="1"/>
  <c r="BE249" i="1" s="1"/>
  <c r="BC255" i="1"/>
  <c r="BE255" i="1" s="1"/>
  <c r="BC261" i="1"/>
  <c r="BE261" i="1" s="1"/>
  <c r="BC267" i="1"/>
  <c r="BE267" i="1" s="1"/>
  <c r="BC273" i="1"/>
  <c r="BE273" i="1" s="1"/>
  <c r="BC279" i="1"/>
  <c r="BE279" i="1" s="1"/>
  <c r="BC285" i="1"/>
  <c r="BE285" i="1" s="1"/>
  <c r="BC291" i="1"/>
  <c r="BE291" i="1" s="1"/>
  <c r="BC297" i="1"/>
  <c r="BE297" i="1" s="1"/>
  <c r="BC303" i="1"/>
  <c r="BE303" i="1" s="1"/>
  <c r="BC309" i="1"/>
  <c r="BE309" i="1" s="1"/>
  <c r="BC315" i="1"/>
  <c r="BE315" i="1" s="1"/>
  <c r="BC321" i="1"/>
  <c r="BE321" i="1" s="1"/>
  <c r="BC327" i="1"/>
  <c r="BE327" i="1" s="1"/>
  <c r="BC333" i="1"/>
  <c r="BE333" i="1" s="1"/>
  <c r="BC339" i="1"/>
  <c r="BE339" i="1" s="1"/>
  <c r="BC345" i="1"/>
  <c r="BE345" i="1" s="1"/>
  <c r="BC351" i="1"/>
  <c r="BE351" i="1" s="1"/>
  <c r="BC357" i="1"/>
  <c r="BE357" i="1" s="1"/>
  <c r="BC49" i="1"/>
  <c r="BE49" i="1" s="1"/>
  <c r="BC57" i="1"/>
  <c r="BE57" i="1" s="1"/>
  <c r="BC67" i="1"/>
  <c r="BE67" i="1" s="1"/>
  <c r="BC75" i="1"/>
  <c r="BE75" i="1" s="1"/>
  <c r="BC85" i="1"/>
  <c r="BE85" i="1" s="1"/>
  <c r="BC93" i="1"/>
  <c r="BE93" i="1" s="1"/>
  <c r="BC103" i="1"/>
  <c r="BE103" i="1" s="1"/>
  <c r="BC111" i="1"/>
  <c r="BE111" i="1" s="1"/>
  <c r="BC121" i="1"/>
  <c r="BE121" i="1" s="1"/>
  <c r="BC129" i="1"/>
  <c r="BE129" i="1" s="1"/>
  <c r="BC139" i="1"/>
  <c r="BE139" i="1" s="1"/>
  <c r="BC147" i="1"/>
  <c r="BE147" i="1" s="1"/>
  <c r="BC157" i="1"/>
  <c r="BE157" i="1" s="1"/>
  <c r="BC165" i="1"/>
  <c r="BE165" i="1" s="1"/>
  <c r="BC175" i="1"/>
  <c r="BE175" i="1" s="1"/>
  <c r="BD182" i="1"/>
  <c r="BF182" i="1" s="1"/>
  <c r="BC189" i="1"/>
  <c r="BE189" i="1" s="1"/>
  <c r="BD195" i="1"/>
  <c r="BF195" i="1" s="1"/>
  <c r="BD201" i="1"/>
  <c r="BF201" i="1" s="1"/>
  <c r="BD207" i="1"/>
  <c r="BF207" i="1" s="1"/>
  <c r="BD213" i="1"/>
  <c r="BF213" i="1" s="1"/>
  <c r="BD219" i="1"/>
  <c r="BF219" i="1" s="1"/>
  <c r="BD225" i="1"/>
  <c r="BF225" i="1" s="1"/>
  <c r="BD231" i="1"/>
  <c r="BF231" i="1" s="1"/>
  <c r="BD237" i="1"/>
  <c r="BF237" i="1" s="1"/>
  <c r="BD243" i="1"/>
  <c r="BF243" i="1" s="1"/>
  <c r="BD249" i="1"/>
  <c r="BF249" i="1" s="1"/>
  <c r="BD255" i="1"/>
  <c r="BF255" i="1" s="1"/>
  <c r="BD261" i="1"/>
  <c r="BF261" i="1" s="1"/>
  <c r="BD267" i="1"/>
  <c r="BF267" i="1" s="1"/>
  <c r="BD273" i="1"/>
  <c r="BF273" i="1" s="1"/>
  <c r="BD279" i="1"/>
  <c r="BF279" i="1" s="1"/>
  <c r="BD285" i="1"/>
  <c r="BF285" i="1" s="1"/>
  <c r="BD291" i="1"/>
  <c r="BF291" i="1" s="1"/>
  <c r="BD297" i="1"/>
  <c r="BF297" i="1" s="1"/>
  <c r="BD303" i="1"/>
  <c r="BF303" i="1" s="1"/>
  <c r="BD309" i="1"/>
  <c r="BF309" i="1" s="1"/>
  <c r="BD315" i="1"/>
  <c r="BF315" i="1" s="1"/>
  <c r="BD321" i="1"/>
  <c r="BF321" i="1" s="1"/>
  <c r="BD327" i="1"/>
  <c r="BF327" i="1" s="1"/>
  <c r="BD333" i="1"/>
  <c r="BF333" i="1" s="1"/>
  <c r="BD339" i="1"/>
  <c r="BF339" i="1" s="1"/>
  <c r="BD345" i="1"/>
  <c r="BF345" i="1" s="1"/>
  <c r="BD351" i="1"/>
  <c r="BF351" i="1" s="1"/>
  <c r="BD357" i="1"/>
  <c r="BF357" i="1" s="1"/>
  <c r="BD42" i="1"/>
  <c r="BF42" i="1" s="1"/>
  <c r="BC54" i="1"/>
  <c r="BE54" i="1" s="1"/>
  <c r="BD65" i="1"/>
  <c r="BF65" i="1" s="1"/>
  <c r="BD78" i="1"/>
  <c r="BF78" i="1" s="1"/>
  <c r="BC90" i="1"/>
  <c r="BE90" i="1" s="1"/>
  <c r="BD101" i="1"/>
  <c r="BF101" i="1" s="1"/>
  <c r="BD114" i="1"/>
  <c r="BF114" i="1" s="1"/>
  <c r="BC126" i="1"/>
  <c r="BE126" i="1" s="1"/>
  <c r="BD137" i="1"/>
  <c r="BF137" i="1" s="1"/>
  <c r="BD150" i="1"/>
  <c r="BF150" i="1" s="1"/>
  <c r="BC162" i="1"/>
  <c r="BE162" i="1" s="1"/>
  <c r="BD173" i="1"/>
  <c r="BF173" i="1" s="1"/>
  <c r="BD183" i="1"/>
  <c r="BF183" i="1" s="1"/>
  <c r="BD191" i="1"/>
  <c r="BF191" i="1" s="1"/>
  <c r="BD198" i="1"/>
  <c r="BF198" i="1" s="1"/>
  <c r="BD205" i="1"/>
  <c r="BF205" i="1" s="1"/>
  <c r="BD212" i="1"/>
  <c r="BF212" i="1" s="1"/>
  <c r="BD220" i="1"/>
  <c r="BF220" i="1" s="1"/>
  <c r="BD227" i="1"/>
  <c r="BF227" i="1" s="1"/>
  <c r="BD234" i="1"/>
  <c r="BF234" i="1" s="1"/>
  <c r="BD241" i="1"/>
  <c r="BF241" i="1" s="1"/>
  <c r="BD248" i="1"/>
  <c r="BF248" i="1" s="1"/>
  <c r="BD256" i="1"/>
  <c r="BF256" i="1" s="1"/>
  <c r="BD263" i="1"/>
  <c r="BF263" i="1" s="1"/>
  <c r="BD270" i="1"/>
  <c r="BF270" i="1" s="1"/>
  <c r="BD277" i="1"/>
  <c r="BF277" i="1" s="1"/>
  <c r="BD284" i="1"/>
  <c r="BF284" i="1" s="1"/>
  <c r="BD292" i="1"/>
  <c r="BF292" i="1" s="1"/>
  <c r="BD299" i="1"/>
  <c r="BF299" i="1" s="1"/>
  <c r="BD306" i="1"/>
  <c r="BF306" i="1" s="1"/>
  <c r="BD313" i="1"/>
  <c r="BF313" i="1" s="1"/>
  <c r="BD320" i="1"/>
  <c r="BF320" i="1" s="1"/>
  <c r="BD328" i="1"/>
  <c r="BF328" i="1" s="1"/>
  <c r="BD335" i="1"/>
  <c r="BF335" i="1" s="1"/>
  <c r="BD342" i="1"/>
  <c r="BF342" i="1" s="1"/>
  <c r="BD349" i="1"/>
  <c r="BF349" i="1" s="1"/>
  <c r="BD356" i="1"/>
  <c r="BF356" i="1" s="1"/>
  <c r="BD363" i="1"/>
  <c r="BF363" i="1" s="1"/>
  <c r="BD369" i="1"/>
  <c r="BF369" i="1" s="1"/>
  <c r="BD375" i="1"/>
  <c r="BF375" i="1" s="1"/>
  <c r="BD381" i="1"/>
  <c r="BF381" i="1" s="1"/>
  <c r="BD387" i="1"/>
  <c r="BF387" i="1" s="1"/>
  <c r="BD393" i="1"/>
  <c r="BF393" i="1" s="1"/>
  <c r="BD399" i="1"/>
  <c r="BF399" i="1" s="1"/>
  <c r="BC116" i="1"/>
  <c r="BE116" i="1" s="1"/>
  <c r="BC236" i="1"/>
  <c r="BE236" i="1" s="1"/>
  <c r="BC43" i="1"/>
  <c r="BE43" i="1" s="1"/>
  <c r="BD54" i="1"/>
  <c r="BF54" i="1" s="1"/>
  <c r="BD67" i="1"/>
  <c r="BF67" i="1" s="1"/>
  <c r="BC79" i="1"/>
  <c r="BE79" i="1" s="1"/>
  <c r="BD90" i="1"/>
  <c r="BF90" i="1" s="1"/>
  <c r="BD103" i="1"/>
  <c r="BF103" i="1" s="1"/>
  <c r="BC115" i="1"/>
  <c r="BE115" i="1" s="1"/>
  <c r="BD126" i="1"/>
  <c r="BF126" i="1" s="1"/>
  <c r="BD139" i="1"/>
  <c r="BF139" i="1" s="1"/>
  <c r="BC151" i="1"/>
  <c r="BE151" i="1" s="1"/>
  <c r="BD162" i="1"/>
  <c r="BF162" i="1" s="1"/>
  <c r="BD175" i="1"/>
  <c r="BF175" i="1" s="1"/>
  <c r="BC184" i="1"/>
  <c r="BE184" i="1" s="1"/>
  <c r="BC192" i="1"/>
  <c r="BE192" i="1" s="1"/>
  <c r="BC199" i="1"/>
  <c r="BE199" i="1" s="1"/>
  <c r="BC206" i="1"/>
  <c r="BE206" i="1" s="1"/>
  <c r="BC214" i="1"/>
  <c r="BE214" i="1" s="1"/>
  <c r="BC221" i="1"/>
  <c r="BE221" i="1" s="1"/>
  <c r="BC228" i="1"/>
  <c r="BE228" i="1" s="1"/>
  <c r="BC235" i="1"/>
  <c r="BE235" i="1" s="1"/>
  <c r="BC242" i="1"/>
  <c r="BE242" i="1" s="1"/>
  <c r="BC250" i="1"/>
  <c r="BE250" i="1" s="1"/>
  <c r="BC257" i="1"/>
  <c r="BE257" i="1" s="1"/>
  <c r="BC264" i="1"/>
  <c r="BE264" i="1" s="1"/>
  <c r="BC271" i="1"/>
  <c r="BE271" i="1" s="1"/>
  <c r="BC278" i="1"/>
  <c r="BE278" i="1" s="1"/>
  <c r="BC286" i="1"/>
  <c r="BE286" i="1" s="1"/>
  <c r="BC293" i="1"/>
  <c r="BE293" i="1" s="1"/>
  <c r="BC300" i="1"/>
  <c r="BE300" i="1" s="1"/>
  <c r="BC307" i="1"/>
  <c r="BE307" i="1" s="1"/>
  <c r="BC314" i="1"/>
  <c r="BE314" i="1" s="1"/>
  <c r="BC322" i="1"/>
  <c r="BE322" i="1" s="1"/>
  <c r="BC329" i="1"/>
  <c r="BE329" i="1" s="1"/>
  <c r="BC336" i="1"/>
  <c r="BE336" i="1" s="1"/>
  <c r="BC343" i="1"/>
  <c r="BE343" i="1" s="1"/>
  <c r="BC350" i="1"/>
  <c r="BE350" i="1" s="1"/>
  <c r="BC358" i="1"/>
  <c r="BE358" i="1" s="1"/>
  <c r="BC364" i="1"/>
  <c r="BE364" i="1" s="1"/>
  <c r="BC370" i="1"/>
  <c r="BE370" i="1" s="1"/>
  <c r="BC376" i="1"/>
  <c r="BE376" i="1" s="1"/>
  <c r="BC382" i="1"/>
  <c r="BE382" i="1" s="1"/>
  <c r="BC388" i="1"/>
  <c r="BE388" i="1" s="1"/>
  <c r="BC394" i="1"/>
  <c r="BE394" i="1" s="1"/>
  <c r="BC400" i="1"/>
  <c r="BE400" i="1" s="1"/>
  <c r="BD55" i="1"/>
  <c r="BF55" i="1" s="1"/>
  <c r="BC80" i="1"/>
  <c r="BE80" i="1" s="1"/>
  <c r="BD104" i="1"/>
  <c r="BF104" i="1" s="1"/>
  <c r="BD140" i="1"/>
  <c r="BF140" i="1" s="1"/>
  <c r="BD163" i="1"/>
  <c r="BF163" i="1" s="1"/>
  <c r="BD185" i="1"/>
  <c r="BF185" i="1" s="1"/>
  <c r="BC200" i="1"/>
  <c r="BE200" i="1" s="1"/>
  <c r="BC215" i="1"/>
  <c r="BE215" i="1" s="1"/>
  <c r="BC229" i="1"/>
  <c r="BE229" i="1" s="1"/>
  <c r="BC251" i="1"/>
  <c r="BE251" i="1" s="1"/>
  <c r="BC265" i="1"/>
  <c r="BE265" i="1" s="1"/>
  <c r="BC280" i="1"/>
  <c r="BE280" i="1" s="1"/>
  <c r="BC294" i="1"/>
  <c r="BE294" i="1" s="1"/>
  <c r="BC308" i="1"/>
  <c r="BE308" i="1" s="1"/>
  <c r="BC323" i="1"/>
  <c r="BE323" i="1" s="1"/>
  <c r="BC337" i="1"/>
  <c r="BE337" i="1" s="1"/>
  <c r="BC352" i="1"/>
  <c r="BE352" i="1" s="1"/>
  <c r="BC365" i="1"/>
  <c r="BE365" i="1" s="1"/>
  <c r="BC377" i="1"/>
  <c r="BE377" i="1" s="1"/>
  <c r="BC389" i="1"/>
  <c r="BE389" i="1" s="1"/>
  <c r="BD41" i="1"/>
  <c r="BF41" i="1" s="1"/>
  <c r="BD59" i="1"/>
  <c r="BF59" i="1" s="1"/>
  <c r="BD43" i="1"/>
  <c r="BF43" i="1" s="1"/>
  <c r="BC55" i="1"/>
  <c r="BE55" i="1" s="1"/>
  <c r="BC68" i="1"/>
  <c r="BE68" i="1" s="1"/>
  <c r="BD79" i="1"/>
  <c r="BF79" i="1" s="1"/>
  <c r="BC91" i="1"/>
  <c r="BE91" i="1" s="1"/>
  <c r="BC104" i="1"/>
  <c r="BE104" i="1" s="1"/>
  <c r="BD115" i="1"/>
  <c r="BF115" i="1" s="1"/>
  <c r="BC127" i="1"/>
  <c r="BE127" i="1" s="1"/>
  <c r="BC140" i="1"/>
  <c r="BE140" i="1" s="1"/>
  <c r="BD151" i="1"/>
  <c r="BF151" i="1" s="1"/>
  <c r="BC163" i="1"/>
  <c r="BE163" i="1" s="1"/>
  <c r="BC176" i="1"/>
  <c r="BE176" i="1" s="1"/>
  <c r="BD184" i="1"/>
  <c r="BF184" i="1" s="1"/>
  <c r="BD192" i="1"/>
  <c r="BF192" i="1" s="1"/>
  <c r="BD199" i="1"/>
  <c r="BF199" i="1" s="1"/>
  <c r="BD206" i="1"/>
  <c r="BF206" i="1" s="1"/>
  <c r="BD214" i="1"/>
  <c r="BF214" i="1" s="1"/>
  <c r="BD221" i="1"/>
  <c r="BF221" i="1" s="1"/>
  <c r="BD228" i="1"/>
  <c r="BF228" i="1" s="1"/>
  <c r="BD235" i="1"/>
  <c r="BF235" i="1" s="1"/>
  <c r="BD242" i="1"/>
  <c r="BF242" i="1" s="1"/>
  <c r="BD250" i="1"/>
  <c r="BF250" i="1" s="1"/>
  <c r="BD257" i="1"/>
  <c r="BF257" i="1" s="1"/>
  <c r="BD264" i="1"/>
  <c r="BF264" i="1" s="1"/>
  <c r="BD271" i="1"/>
  <c r="BF271" i="1" s="1"/>
  <c r="BD278" i="1"/>
  <c r="BF278" i="1" s="1"/>
  <c r="BD286" i="1"/>
  <c r="BF286" i="1" s="1"/>
  <c r="BD293" i="1"/>
  <c r="BF293" i="1" s="1"/>
  <c r="BD300" i="1"/>
  <c r="BF300" i="1" s="1"/>
  <c r="BD307" i="1"/>
  <c r="BF307" i="1" s="1"/>
  <c r="BD314" i="1"/>
  <c r="BF314" i="1" s="1"/>
  <c r="BD322" i="1"/>
  <c r="BF322" i="1" s="1"/>
  <c r="BD329" i="1"/>
  <c r="BF329" i="1" s="1"/>
  <c r="BD336" i="1"/>
  <c r="BF336" i="1" s="1"/>
  <c r="BD343" i="1"/>
  <c r="BF343" i="1" s="1"/>
  <c r="BD350" i="1"/>
  <c r="BF350" i="1" s="1"/>
  <c r="BD358" i="1"/>
  <c r="BF358" i="1" s="1"/>
  <c r="BD364" i="1"/>
  <c r="BF364" i="1" s="1"/>
  <c r="BD370" i="1"/>
  <c r="BF370" i="1" s="1"/>
  <c r="BD376" i="1"/>
  <c r="BF376" i="1" s="1"/>
  <c r="BD382" i="1"/>
  <c r="BF382" i="1" s="1"/>
  <c r="BD388" i="1"/>
  <c r="BF388" i="1" s="1"/>
  <c r="BD394" i="1"/>
  <c r="BF394" i="1" s="1"/>
  <c r="BD400" i="1"/>
  <c r="BF400" i="1" s="1"/>
  <c r="BC44" i="1"/>
  <c r="BE44" i="1" s="1"/>
  <c r="BD68" i="1"/>
  <c r="BF68" i="1" s="1"/>
  <c r="BD91" i="1"/>
  <c r="BF91" i="1" s="1"/>
  <c r="BD127" i="1"/>
  <c r="BF127" i="1" s="1"/>
  <c r="BC152" i="1"/>
  <c r="BE152" i="1" s="1"/>
  <c r="BD176" i="1"/>
  <c r="BF176" i="1" s="1"/>
  <c r="BC193" i="1"/>
  <c r="BE193" i="1" s="1"/>
  <c r="BC208" i="1"/>
  <c r="BE208" i="1" s="1"/>
  <c r="BC222" i="1"/>
  <c r="BE222" i="1" s="1"/>
  <c r="BC244" i="1"/>
  <c r="BE244" i="1" s="1"/>
  <c r="BC258" i="1"/>
  <c r="BE258" i="1" s="1"/>
  <c r="BC272" i="1"/>
  <c r="BE272" i="1" s="1"/>
  <c r="BC287" i="1"/>
  <c r="BE287" i="1" s="1"/>
  <c r="BC301" i="1"/>
  <c r="BE301" i="1" s="1"/>
  <c r="BC316" i="1"/>
  <c r="BE316" i="1" s="1"/>
  <c r="BC330" i="1"/>
  <c r="BE330" i="1" s="1"/>
  <c r="BC344" i="1"/>
  <c r="BE344" i="1" s="1"/>
  <c r="BC359" i="1"/>
  <c r="BE359" i="1" s="1"/>
  <c r="BC371" i="1"/>
  <c r="BE371" i="1" s="1"/>
  <c r="BC383" i="1"/>
  <c r="BE383" i="1" s="1"/>
  <c r="BC395" i="1"/>
  <c r="BE395" i="1" s="1"/>
  <c r="BC69" i="1"/>
  <c r="BE69" i="1" s="1"/>
  <c r="BD49" i="1"/>
  <c r="BF49" i="1" s="1"/>
  <c r="BD71" i="1"/>
  <c r="BF71" i="1" s="1"/>
  <c r="BD86" i="1"/>
  <c r="BF86" i="1" s="1"/>
  <c r="BD107" i="1"/>
  <c r="BF107" i="1" s="1"/>
  <c r="BD122" i="1"/>
  <c r="BF122" i="1" s="1"/>
  <c r="BD143" i="1"/>
  <c r="BF143" i="1" s="1"/>
  <c r="BD158" i="1"/>
  <c r="BF158" i="1" s="1"/>
  <c r="BD178" i="1"/>
  <c r="BF178" i="1" s="1"/>
  <c r="BD189" i="1"/>
  <c r="BF189" i="1" s="1"/>
  <c r="BC202" i="1"/>
  <c r="BE202" i="1" s="1"/>
  <c r="BC211" i="1"/>
  <c r="BE211" i="1" s="1"/>
  <c r="BC223" i="1"/>
  <c r="BE223" i="1" s="1"/>
  <c r="BC233" i="1"/>
  <c r="BE233" i="1" s="1"/>
  <c r="BC245" i="1"/>
  <c r="BE245" i="1" s="1"/>
  <c r="BC254" i="1"/>
  <c r="BE254" i="1" s="1"/>
  <c r="BC266" i="1"/>
  <c r="BE266" i="1" s="1"/>
  <c r="BC276" i="1"/>
  <c r="BE276" i="1" s="1"/>
  <c r="BC288" i="1"/>
  <c r="BE288" i="1" s="1"/>
  <c r="BC319" i="1"/>
  <c r="BE319" i="1" s="1"/>
  <c r="BC341" i="1"/>
  <c r="BE341" i="1" s="1"/>
  <c r="BC380" i="1"/>
  <c r="BE380" i="1" s="1"/>
  <c r="BC50" i="1"/>
  <c r="BE50" i="1" s="1"/>
  <c r="BC159" i="1"/>
  <c r="BE159" i="1" s="1"/>
  <c r="BD266" i="1"/>
  <c r="BF266" i="1" s="1"/>
  <c r="BD372" i="1"/>
  <c r="BF372" i="1" s="1"/>
  <c r="BD89" i="1"/>
  <c r="BF89" i="1" s="1"/>
  <c r="BC180" i="1"/>
  <c r="BE180" i="1" s="1"/>
  <c r="BC246" i="1"/>
  <c r="BE246" i="1" s="1"/>
  <c r="BC320" i="1"/>
  <c r="BE320" i="1" s="1"/>
  <c r="BC399" i="1"/>
  <c r="BE399" i="1" s="1"/>
  <c r="BD131" i="1"/>
  <c r="BF131" i="1" s="1"/>
  <c r="BD203" i="1"/>
  <c r="BF203" i="1" s="1"/>
  <c r="BD268" i="1"/>
  <c r="BF268" i="1" s="1"/>
  <c r="BD344" i="1"/>
  <c r="BF344" i="1" s="1"/>
  <c r="BC346" i="1"/>
  <c r="BE346" i="1" s="1"/>
  <c r="BD77" i="1"/>
  <c r="BF77" i="1" s="1"/>
  <c r="BD226" i="1"/>
  <c r="BF226" i="1" s="1"/>
  <c r="BD324" i="1"/>
  <c r="BF324" i="1" s="1"/>
  <c r="BC384" i="1"/>
  <c r="BE384" i="1" s="1"/>
  <c r="BD281" i="1"/>
  <c r="BF281" i="1" s="1"/>
  <c r="BC194" i="1"/>
  <c r="BE194" i="1" s="1"/>
  <c r="BD323" i="1"/>
  <c r="BF323" i="1" s="1"/>
  <c r="BD302" i="1"/>
  <c r="BF302" i="1" s="1"/>
  <c r="BD73" i="1"/>
  <c r="BF73" i="1" s="1"/>
  <c r="BD168" i="1"/>
  <c r="BF168" i="1" s="1"/>
  <c r="BD334" i="1"/>
  <c r="BF334" i="1" s="1"/>
  <c r="BD60" i="1"/>
  <c r="BF60" i="1" s="1"/>
  <c r="BC78" i="1"/>
  <c r="BE78" i="1" s="1"/>
  <c r="BC97" i="1"/>
  <c r="BE97" i="1" s="1"/>
  <c r="BC114" i="1"/>
  <c r="BE114" i="1" s="1"/>
  <c r="BC133" i="1"/>
  <c r="BE133" i="1" s="1"/>
  <c r="BC150" i="1"/>
  <c r="BE150" i="1" s="1"/>
  <c r="BC169" i="1"/>
  <c r="BE169" i="1" s="1"/>
  <c r="BC183" i="1"/>
  <c r="BE183" i="1" s="1"/>
  <c r="BC196" i="1"/>
  <c r="BE196" i="1" s="1"/>
  <c r="BC205" i="1"/>
  <c r="BE205" i="1" s="1"/>
  <c r="BC217" i="1"/>
  <c r="BE217" i="1" s="1"/>
  <c r="BC227" i="1"/>
  <c r="BE227" i="1" s="1"/>
  <c r="BC239" i="1"/>
  <c r="BE239" i="1" s="1"/>
  <c r="BC248" i="1"/>
  <c r="BE248" i="1" s="1"/>
  <c r="BC260" i="1"/>
  <c r="BE260" i="1" s="1"/>
  <c r="BC270" i="1"/>
  <c r="BE270" i="1" s="1"/>
  <c r="BC282" i="1"/>
  <c r="BE282" i="1" s="1"/>
  <c r="BC292" i="1"/>
  <c r="BE292" i="1" s="1"/>
  <c r="BC304" i="1"/>
  <c r="BE304" i="1" s="1"/>
  <c r="BC313" i="1"/>
  <c r="BE313" i="1" s="1"/>
  <c r="BC325" i="1"/>
  <c r="BE325" i="1" s="1"/>
  <c r="BC335" i="1"/>
  <c r="BE335" i="1" s="1"/>
  <c r="BC347" i="1"/>
  <c r="BE347" i="1" s="1"/>
  <c r="BC356" i="1"/>
  <c r="BE356" i="1" s="1"/>
  <c r="BC367" i="1"/>
  <c r="BE367" i="1" s="1"/>
  <c r="BC375" i="1"/>
  <c r="BE375" i="1" s="1"/>
  <c r="BC385" i="1"/>
  <c r="BE385" i="1" s="1"/>
  <c r="BC393" i="1"/>
  <c r="BE393" i="1" s="1"/>
  <c r="BD209" i="1"/>
  <c r="BF209" i="1" s="1"/>
  <c r="BD386" i="1"/>
  <c r="BF386" i="1" s="1"/>
  <c r="BC198" i="1"/>
  <c r="BE198" i="1" s="1"/>
  <c r="BC86" i="1"/>
  <c r="BE86" i="1" s="1"/>
  <c r="BC158" i="1"/>
  <c r="BE158" i="1" s="1"/>
  <c r="BD222" i="1"/>
  <c r="BF222" i="1" s="1"/>
  <c r="BD275" i="1"/>
  <c r="BF275" i="1" s="1"/>
  <c r="BD308" i="1"/>
  <c r="BF308" i="1" s="1"/>
  <c r="BD340" i="1"/>
  <c r="BF340" i="1" s="1"/>
  <c r="BD371" i="1"/>
  <c r="BF371" i="1" s="1"/>
  <c r="BD397" i="1"/>
  <c r="BF397" i="1" s="1"/>
  <c r="BC298" i="1"/>
  <c r="BE298" i="1" s="1"/>
  <c r="BC353" i="1"/>
  <c r="BE353" i="1" s="1"/>
  <c r="BC372" i="1"/>
  <c r="BE372" i="1" s="1"/>
  <c r="BC398" i="1"/>
  <c r="BE398" i="1" s="1"/>
  <c r="BC72" i="1"/>
  <c r="BE72" i="1" s="1"/>
  <c r="BC190" i="1"/>
  <c r="BE190" i="1" s="1"/>
  <c r="BD298" i="1"/>
  <c r="BF298" i="1" s="1"/>
  <c r="BD398" i="1"/>
  <c r="BF398" i="1" s="1"/>
  <c r="BD108" i="1"/>
  <c r="BF108" i="1" s="1"/>
  <c r="BD190" i="1"/>
  <c r="BF190" i="1" s="1"/>
  <c r="BC268" i="1"/>
  <c r="BE268" i="1" s="1"/>
  <c r="BC342" i="1"/>
  <c r="BE342" i="1" s="1"/>
  <c r="BC51" i="1"/>
  <c r="BE51" i="1" s="1"/>
  <c r="BC145" i="1"/>
  <c r="BE145" i="1" s="1"/>
  <c r="BD215" i="1"/>
  <c r="BF215" i="1" s="1"/>
  <c r="BD289" i="1"/>
  <c r="BF289" i="1" s="1"/>
  <c r="BD373" i="1"/>
  <c r="BF373" i="1" s="1"/>
  <c r="BD145" i="1"/>
  <c r="BF145" i="1" s="1"/>
  <c r="BC238" i="1"/>
  <c r="BE238" i="1" s="1"/>
  <c r="BC312" i="1"/>
  <c r="BE312" i="1" s="1"/>
  <c r="BC392" i="1"/>
  <c r="BE392" i="1" s="1"/>
  <c r="BD113" i="1"/>
  <c r="BF113" i="1" s="1"/>
  <c r="BD216" i="1"/>
  <c r="BF216" i="1" s="1"/>
  <c r="BD269" i="1"/>
  <c r="BF269" i="1" s="1"/>
  <c r="BD346" i="1"/>
  <c r="BF346" i="1" s="1"/>
  <c r="BC61" i="1"/>
  <c r="BE61" i="1" s="1"/>
  <c r="BD80" i="1"/>
  <c r="BF80" i="1" s="1"/>
  <c r="BD97" i="1"/>
  <c r="BF97" i="1" s="1"/>
  <c r="BD116" i="1"/>
  <c r="BF116" i="1" s="1"/>
  <c r="BD133" i="1"/>
  <c r="BF133" i="1" s="1"/>
  <c r="BD152" i="1"/>
  <c r="BF152" i="1" s="1"/>
  <c r="BD169" i="1"/>
  <c r="BF169" i="1" s="1"/>
  <c r="BC186" i="1"/>
  <c r="BE186" i="1" s="1"/>
  <c r="BD196" i="1"/>
  <c r="BF196" i="1" s="1"/>
  <c r="BD208" i="1"/>
  <c r="BF208" i="1" s="1"/>
  <c r="BD217" i="1"/>
  <c r="BF217" i="1" s="1"/>
  <c r="BD229" i="1"/>
  <c r="BF229" i="1" s="1"/>
  <c r="BD239" i="1"/>
  <c r="BF239" i="1" s="1"/>
  <c r="BD251" i="1"/>
  <c r="BF251" i="1" s="1"/>
  <c r="BD260" i="1"/>
  <c r="BF260" i="1" s="1"/>
  <c r="BD272" i="1"/>
  <c r="BF272" i="1" s="1"/>
  <c r="BD282" i="1"/>
  <c r="BF282" i="1" s="1"/>
  <c r="BD294" i="1"/>
  <c r="BF294" i="1" s="1"/>
  <c r="BD304" i="1"/>
  <c r="BF304" i="1" s="1"/>
  <c r="BD316" i="1"/>
  <c r="BF316" i="1" s="1"/>
  <c r="BD325" i="1"/>
  <c r="BF325" i="1" s="1"/>
  <c r="BD337" i="1"/>
  <c r="BF337" i="1" s="1"/>
  <c r="BD347" i="1"/>
  <c r="BF347" i="1" s="1"/>
  <c r="BD359" i="1"/>
  <c r="BF359" i="1" s="1"/>
  <c r="BD367" i="1"/>
  <c r="BF367" i="1" s="1"/>
  <c r="BD377" i="1"/>
  <c r="BF377" i="1" s="1"/>
  <c r="BD385" i="1"/>
  <c r="BF385" i="1" s="1"/>
  <c r="BD395" i="1"/>
  <c r="BF395" i="1" s="1"/>
  <c r="BD83" i="1"/>
  <c r="BF83" i="1" s="1"/>
  <c r="BC187" i="1"/>
  <c r="BE187" i="1" s="1"/>
  <c r="BD218" i="1"/>
  <c r="BF218" i="1" s="1"/>
  <c r="BD240" i="1"/>
  <c r="BF240" i="1" s="1"/>
  <c r="BD262" i="1"/>
  <c r="BF262" i="1" s="1"/>
  <c r="BD283" i="1"/>
  <c r="BF283" i="1" s="1"/>
  <c r="BD305" i="1"/>
  <c r="BF305" i="1" s="1"/>
  <c r="BD326" i="1"/>
  <c r="BF326" i="1" s="1"/>
  <c r="BD348" i="1"/>
  <c r="BF348" i="1" s="1"/>
  <c r="BD368" i="1"/>
  <c r="BF368" i="1" s="1"/>
  <c r="BD396" i="1"/>
  <c r="BF396" i="1" s="1"/>
  <c r="BC45" i="1"/>
  <c r="BE45" i="1" s="1"/>
  <c r="BD85" i="1"/>
  <c r="BF85" i="1" s="1"/>
  <c r="BD121" i="1"/>
  <c r="BF121" i="1" s="1"/>
  <c r="BD157" i="1"/>
  <c r="BF157" i="1" s="1"/>
  <c r="BD187" i="1"/>
  <c r="BF187" i="1" s="1"/>
  <c r="BC220" i="1"/>
  <c r="BE220" i="1" s="1"/>
  <c r="BC241" i="1"/>
  <c r="BE241" i="1" s="1"/>
  <c r="BC263" i="1"/>
  <c r="BE263" i="1" s="1"/>
  <c r="BC284" i="1"/>
  <c r="BE284" i="1" s="1"/>
  <c r="BC306" i="1"/>
  <c r="BE306" i="1" s="1"/>
  <c r="BC328" i="1"/>
  <c r="BE328" i="1" s="1"/>
  <c r="BC349" i="1"/>
  <c r="BE349" i="1" s="1"/>
  <c r="BC369" i="1"/>
  <c r="BE369" i="1" s="1"/>
  <c r="BC387" i="1"/>
  <c r="BE387" i="1" s="1"/>
  <c r="BC63" i="1"/>
  <c r="BE63" i="1" s="1"/>
  <c r="BC105" i="1"/>
  <c r="BE105" i="1" s="1"/>
  <c r="BC141" i="1"/>
  <c r="BE141" i="1" s="1"/>
  <c r="BC188" i="1"/>
  <c r="BE188" i="1" s="1"/>
  <c r="BD200" i="1"/>
  <c r="BF200" i="1" s="1"/>
  <c r="BD232" i="1"/>
  <c r="BF232" i="1" s="1"/>
  <c r="BD253" i="1"/>
  <c r="BF253" i="1" s="1"/>
  <c r="BD296" i="1"/>
  <c r="BF296" i="1" s="1"/>
  <c r="BD330" i="1"/>
  <c r="BF330" i="1" s="1"/>
  <c r="BD361" i="1"/>
  <c r="BF361" i="1" s="1"/>
  <c r="BD389" i="1"/>
  <c r="BF389" i="1" s="1"/>
  <c r="BC310" i="1"/>
  <c r="BE310" i="1" s="1"/>
  <c r="BC362" i="1"/>
  <c r="BE362" i="1" s="1"/>
  <c r="BC390" i="1"/>
  <c r="BE390" i="1" s="1"/>
  <c r="BC87" i="1"/>
  <c r="BE87" i="1" s="1"/>
  <c r="BC123" i="1"/>
  <c r="BE123" i="1" s="1"/>
  <c r="BD179" i="1"/>
  <c r="BF179" i="1" s="1"/>
  <c r="BD223" i="1"/>
  <c r="BF223" i="1" s="1"/>
  <c r="BD245" i="1"/>
  <c r="BF245" i="1" s="1"/>
  <c r="BD276" i="1"/>
  <c r="BF276" i="1" s="1"/>
  <c r="BD310" i="1"/>
  <c r="BF310" i="1" s="1"/>
  <c r="BD331" i="1"/>
  <c r="BF331" i="1" s="1"/>
  <c r="BD362" i="1"/>
  <c r="BF362" i="1" s="1"/>
  <c r="BD390" i="1"/>
  <c r="BF390" i="1" s="1"/>
  <c r="BD72" i="1"/>
  <c r="BF72" i="1" s="1"/>
  <c r="BD161" i="1"/>
  <c r="BF161" i="1" s="1"/>
  <c r="BC212" i="1"/>
  <c r="BE212" i="1" s="1"/>
  <c r="BC256" i="1"/>
  <c r="BE256" i="1" s="1"/>
  <c r="BC289" i="1"/>
  <c r="BE289" i="1" s="1"/>
  <c r="BC332" i="1"/>
  <c r="BE332" i="1" s="1"/>
  <c r="BC363" i="1"/>
  <c r="BE363" i="1" s="1"/>
  <c r="BC391" i="1"/>
  <c r="BE391" i="1" s="1"/>
  <c r="BC109" i="1"/>
  <c r="BE109" i="1" s="1"/>
  <c r="BD180" i="1"/>
  <c r="BF180" i="1" s="1"/>
  <c r="BD236" i="1"/>
  <c r="BF236" i="1" s="1"/>
  <c r="BD280" i="1"/>
  <c r="BF280" i="1" s="1"/>
  <c r="BD332" i="1"/>
  <c r="BF332" i="1" s="1"/>
  <c r="BD365" i="1"/>
  <c r="BF365" i="1" s="1"/>
  <c r="BD391" i="1"/>
  <c r="BF391" i="1" s="1"/>
  <c r="BD53" i="1"/>
  <c r="BF53" i="1" s="1"/>
  <c r="BC132" i="1"/>
  <c r="BE132" i="1" s="1"/>
  <c r="BC168" i="1"/>
  <c r="BE168" i="1" s="1"/>
  <c r="BC204" i="1"/>
  <c r="BE204" i="1" s="1"/>
  <c r="BC226" i="1"/>
  <c r="BE226" i="1" s="1"/>
  <c r="BC269" i="1"/>
  <c r="BE269" i="1" s="1"/>
  <c r="BC290" i="1"/>
  <c r="BE290" i="1" s="1"/>
  <c r="BC324" i="1"/>
  <c r="BE324" i="1" s="1"/>
  <c r="BC355" i="1"/>
  <c r="BE355" i="1" s="1"/>
  <c r="BD132" i="1"/>
  <c r="BF132" i="1" s="1"/>
  <c r="BD194" i="1"/>
  <c r="BF194" i="1" s="1"/>
  <c r="BD247" i="1"/>
  <c r="BF247" i="1" s="1"/>
  <c r="BD312" i="1"/>
  <c r="BF312" i="1" s="1"/>
  <c r="BD374" i="1"/>
  <c r="BF374" i="1" s="1"/>
  <c r="BD392" i="1"/>
  <c r="BF392" i="1" s="1"/>
  <c r="BC42" i="1"/>
  <c r="BE42" i="1" s="1"/>
  <c r="BD61" i="1"/>
  <c r="BF61" i="1" s="1"/>
  <c r="BC81" i="1"/>
  <c r="BE81" i="1" s="1"/>
  <c r="BC98" i="1"/>
  <c r="BE98" i="1" s="1"/>
  <c r="BC117" i="1"/>
  <c r="BE117" i="1" s="1"/>
  <c r="BC134" i="1"/>
  <c r="BE134" i="1" s="1"/>
  <c r="BC153" i="1"/>
  <c r="BE153" i="1" s="1"/>
  <c r="BC170" i="1"/>
  <c r="BE170" i="1" s="1"/>
  <c r="BD186" i="1"/>
  <c r="BF186" i="1" s="1"/>
  <c r="BC197" i="1"/>
  <c r="BE197" i="1" s="1"/>
  <c r="BC209" i="1"/>
  <c r="BE209" i="1" s="1"/>
  <c r="BC218" i="1"/>
  <c r="BE218" i="1" s="1"/>
  <c r="BC230" i="1"/>
  <c r="BE230" i="1" s="1"/>
  <c r="BC240" i="1"/>
  <c r="BE240" i="1" s="1"/>
  <c r="BC252" i="1"/>
  <c r="BE252" i="1" s="1"/>
  <c r="BC262" i="1"/>
  <c r="BE262" i="1" s="1"/>
  <c r="BC274" i="1"/>
  <c r="BE274" i="1" s="1"/>
  <c r="BC283" i="1"/>
  <c r="BE283" i="1" s="1"/>
  <c r="BC295" i="1"/>
  <c r="BE295" i="1" s="1"/>
  <c r="BC305" i="1"/>
  <c r="BE305" i="1" s="1"/>
  <c r="BC317" i="1"/>
  <c r="BE317" i="1" s="1"/>
  <c r="BC326" i="1"/>
  <c r="BE326" i="1" s="1"/>
  <c r="BC338" i="1"/>
  <c r="BE338" i="1" s="1"/>
  <c r="BC348" i="1"/>
  <c r="BE348" i="1" s="1"/>
  <c r="BC360" i="1"/>
  <c r="BE360" i="1" s="1"/>
  <c r="BC368" i="1"/>
  <c r="BE368" i="1" s="1"/>
  <c r="BC378" i="1"/>
  <c r="BE378" i="1" s="1"/>
  <c r="BC386" i="1"/>
  <c r="BE386" i="1" s="1"/>
  <c r="BC396" i="1"/>
  <c r="BE396" i="1" s="1"/>
  <c r="BD44" i="1"/>
  <c r="BF44" i="1" s="1"/>
  <c r="BC62" i="1"/>
  <c r="BE62" i="1" s="1"/>
  <c r="BD98" i="1"/>
  <c r="BF98" i="1" s="1"/>
  <c r="BD119" i="1"/>
  <c r="BF119" i="1" s="1"/>
  <c r="BD134" i="1"/>
  <c r="BF134" i="1" s="1"/>
  <c r="BD155" i="1"/>
  <c r="BF155" i="1" s="1"/>
  <c r="BD170" i="1"/>
  <c r="BF170" i="1" s="1"/>
  <c r="BD197" i="1"/>
  <c r="BF197" i="1" s="1"/>
  <c r="BD230" i="1"/>
  <c r="BF230" i="1" s="1"/>
  <c r="BD252" i="1"/>
  <c r="BF252" i="1" s="1"/>
  <c r="BD274" i="1"/>
  <c r="BF274" i="1" s="1"/>
  <c r="BD295" i="1"/>
  <c r="BF295" i="1" s="1"/>
  <c r="BD317" i="1"/>
  <c r="BF317" i="1" s="1"/>
  <c r="BD338" i="1"/>
  <c r="BF338" i="1" s="1"/>
  <c r="BD360" i="1"/>
  <c r="BF360" i="1" s="1"/>
  <c r="BD378" i="1"/>
  <c r="BF378" i="1" s="1"/>
  <c r="BD62" i="1"/>
  <c r="BF62" i="1" s="1"/>
  <c r="BC99" i="1"/>
  <c r="BE99" i="1" s="1"/>
  <c r="BC135" i="1"/>
  <c r="BE135" i="1" s="1"/>
  <c r="BC171" i="1"/>
  <c r="BE171" i="1" s="1"/>
  <c r="BC210" i="1"/>
  <c r="BE210" i="1" s="1"/>
  <c r="BC232" i="1"/>
  <c r="BE232" i="1" s="1"/>
  <c r="BC253" i="1"/>
  <c r="BE253" i="1" s="1"/>
  <c r="BC275" i="1"/>
  <c r="BE275" i="1" s="1"/>
  <c r="BC296" i="1"/>
  <c r="BE296" i="1" s="1"/>
  <c r="BC318" i="1"/>
  <c r="BE318" i="1" s="1"/>
  <c r="BC340" i="1"/>
  <c r="BE340" i="1" s="1"/>
  <c r="BC361" i="1"/>
  <c r="BE361" i="1" s="1"/>
  <c r="BC379" i="1"/>
  <c r="BE379" i="1" s="1"/>
  <c r="BC397" i="1"/>
  <c r="BE397" i="1" s="1"/>
  <c r="BD47" i="1"/>
  <c r="BF47" i="1" s="1"/>
  <c r="BC122" i="1"/>
  <c r="BE122" i="1" s="1"/>
  <c r="BC177" i="1"/>
  <c r="BE177" i="1" s="1"/>
  <c r="BD210" i="1"/>
  <c r="BF210" i="1" s="1"/>
  <c r="BD244" i="1"/>
  <c r="BF244" i="1" s="1"/>
  <c r="BD265" i="1"/>
  <c r="BF265" i="1" s="1"/>
  <c r="BD287" i="1"/>
  <c r="BF287" i="1" s="1"/>
  <c r="BD318" i="1"/>
  <c r="BF318" i="1" s="1"/>
  <c r="BD352" i="1"/>
  <c r="BF352" i="1" s="1"/>
  <c r="BD379" i="1"/>
  <c r="BF379" i="1" s="1"/>
  <c r="BC108" i="1"/>
  <c r="BE108" i="1" s="1"/>
  <c r="BC144" i="1"/>
  <c r="BE144" i="1" s="1"/>
  <c r="BD202" i="1"/>
  <c r="BF202" i="1" s="1"/>
  <c r="BD233" i="1"/>
  <c r="BF233" i="1" s="1"/>
  <c r="BD254" i="1"/>
  <c r="BF254" i="1" s="1"/>
  <c r="BD288" i="1"/>
  <c r="BF288" i="1" s="1"/>
  <c r="BD319" i="1"/>
  <c r="BF319" i="1" s="1"/>
  <c r="BD341" i="1"/>
  <c r="BF341" i="1" s="1"/>
  <c r="BD380" i="1"/>
  <c r="BF380" i="1" s="1"/>
  <c r="BD50" i="1"/>
  <c r="BF50" i="1" s="1"/>
  <c r="BD144" i="1"/>
  <c r="BF144" i="1" s="1"/>
  <c r="BC203" i="1"/>
  <c r="BE203" i="1" s="1"/>
  <c r="BC234" i="1"/>
  <c r="BE234" i="1" s="1"/>
  <c r="BC277" i="1"/>
  <c r="BE277" i="1" s="1"/>
  <c r="BC311" i="1"/>
  <c r="BE311" i="1" s="1"/>
  <c r="BC354" i="1"/>
  <c r="BE354" i="1" s="1"/>
  <c r="BC381" i="1"/>
  <c r="BE381" i="1" s="1"/>
  <c r="BD95" i="1"/>
  <c r="BF95" i="1" s="1"/>
  <c r="BD193" i="1"/>
  <c r="BF193" i="1" s="1"/>
  <c r="BD224" i="1"/>
  <c r="BF224" i="1" s="1"/>
  <c r="BD258" i="1"/>
  <c r="BF258" i="1" s="1"/>
  <c r="BD301" i="1"/>
  <c r="BF301" i="1" s="1"/>
  <c r="BD354" i="1"/>
  <c r="BF354" i="1" s="1"/>
  <c r="BD383" i="1"/>
  <c r="BF383" i="1" s="1"/>
  <c r="BD109" i="1"/>
  <c r="BF109" i="1" s="1"/>
  <c r="BC181" i="1"/>
  <c r="BE181" i="1" s="1"/>
  <c r="BC216" i="1"/>
  <c r="BE216" i="1" s="1"/>
  <c r="BC247" i="1"/>
  <c r="BE247" i="1" s="1"/>
  <c r="BC281" i="1"/>
  <c r="BE281" i="1" s="1"/>
  <c r="BC302" i="1"/>
  <c r="BE302" i="1" s="1"/>
  <c r="BC334" i="1"/>
  <c r="BE334" i="1" s="1"/>
  <c r="BC374" i="1"/>
  <c r="BE374" i="1" s="1"/>
  <c r="BC60" i="1"/>
  <c r="BE60" i="1" s="1"/>
  <c r="BD149" i="1"/>
  <c r="BF149" i="1" s="1"/>
  <c r="BD204" i="1"/>
  <c r="BF204" i="1" s="1"/>
  <c r="BD238" i="1"/>
  <c r="BF238" i="1" s="1"/>
  <c r="BD290" i="1"/>
  <c r="BF290" i="1" s="1"/>
  <c r="BD366" i="1"/>
  <c r="BF366" i="1" s="1"/>
  <c r="BD384" i="1"/>
  <c r="BF384" i="1" s="1"/>
  <c r="BC331" i="1"/>
  <c r="BE331" i="1" s="1"/>
  <c r="BD211" i="1"/>
  <c r="BF211" i="1" s="1"/>
  <c r="BD353" i="1"/>
  <c r="BF353" i="1" s="1"/>
  <c r="BD125" i="1"/>
  <c r="BF125" i="1" s="1"/>
  <c r="BC224" i="1"/>
  <c r="BE224" i="1" s="1"/>
  <c r="BC299" i="1"/>
  <c r="BE299" i="1" s="1"/>
  <c r="BC373" i="1"/>
  <c r="BE373" i="1" s="1"/>
  <c r="BC73" i="1"/>
  <c r="BE73" i="1" s="1"/>
  <c r="BD167" i="1"/>
  <c r="BF167" i="1" s="1"/>
  <c r="BD246" i="1"/>
  <c r="BF246" i="1" s="1"/>
  <c r="BD311" i="1"/>
  <c r="BF311" i="1" s="1"/>
  <c r="BC41" i="1"/>
  <c r="BE41" i="1" s="1"/>
  <c r="BC96" i="1"/>
  <c r="BE96" i="1" s="1"/>
  <c r="BC259" i="1"/>
  <c r="BE259" i="1" s="1"/>
  <c r="BC366" i="1"/>
  <c r="BE366" i="1" s="1"/>
  <c r="BD96" i="1"/>
  <c r="BF96" i="1" s="1"/>
  <c r="BD181" i="1"/>
  <c r="BF181" i="1" s="1"/>
  <c r="BD259" i="1"/>
  <c r="BF259" i="1" s="1"/>
  <c r="BD355" i="1"/>
  <c r="BF355" i="1" s="1"/>
  <c r="AU14" i="1"/>
  <c r="AV14" i="1" s="1"/>
  <c r="AX18" i="1"/>
  <c r="AS36" i="1"/>
  <c r="AW18" i="1"/>
  <c r="BD18" i="1" s="1"/>
  <c r="AS35" i="1"/>
  <c r="AX34" i="1"/>
  <c r="AR4" i="1"/>
  <c r="AU16" i="1"/>
  <c r="AV16" i="1" s="1"/>
  <c r="AW10" i="1"/>
  <c r="AU10" i="1"/>
  <c r="AV10" i="1" s="1"/>
  <c r="AU18" i="1"/>
  <c r="AV18" i="1" s="1"/>
  <c r="AW12" i="1"/>
  <c r="BB12" i="1" s="1"/>
  <c r="BC12" i="1" s="1"/>
  <c r="AU12" i="1"/>
  <c r="AV12" i="1" s="1"/>
  <c r="AW4" i="1"/>
  <c r="AU4" i="1"/>
  <c r="AV4" i="1" s="1"/>
  <c r="AW6" i="1"/>
  <c r="BB6" i="1" s="1"/>
  <c r="BC6" i="1" s="1"/>
  <c r="AU6" i="1"/>
  <c r="AV6" i="1" s="1"/>
  <c r="AW8" i="1"/>
  <c r="BB8" i="1" s="1"/>
  <c r="BC8" i="1" s="1"/>
  <c r="AU8" i="1"/>
  <c r="AV8" i="1" s="1"/>
  <c r="H7" i="1"/>
  <c r="H6" i="1"/>
  <c r="S6" i="1" s="1"/>
  <c r="H8" i="1"/>
  <c r="S8" i="1" s="1"/>
  <c r="H5" i="1"/>
  <c r="CN6" i="1"/>
  <c r="AR14" i="1"/>
  <c r="AW14" i="1"/>
  <c r="AX14" i="1"/>
  <c r="BE14" i="1" s="1"/>
  <c r="AR10" i="1"/>
  <c r="AX16" i="1"/>
  <c r="BE16" i="1" s="1"/>
  <c r="BL16" i="1" s="1"/>
  <c r="BS16" i="1" s="1"/>
  <c r="BZ16" i="1" s="1"/>
  <c r="AX4" i="1"/>
  <c r="AR12" i="1"/>
  <c r="BE8" i="1"/>
  <c r="BE10" i="1"/>
  <c r="BD16" i="1"/>
  <c r="BE12" i="1"/>
  <c r="AR8" i="1"/>
  <c r="AR6" i="1"/>
  <c r="AR18" i="1"/>
  <c r="AR16" i="1"/>
  <c r="I11" i="1"/>
  <c r="I12" i="1"/>
  <c r="I13" i="1"/>
  <c r="I14" i="1"/>
  <c r="I15" i="1"/>
  <c r="E18" i="2" a="1"/>
  <c r="E18" i="2" s="1"/>
  <c r="AD50" i="1"/>
  <c r="AD96" i="1"/>
  <c r="AD71" i="1"/>
  <c r="AD26" i="1"/>
  <c r="AD35" i="1"/>
  <c r="AI21" i="1"/>
  <c r="C86" i="1"/>
  <c r="AD86" i="1" s="1"/>
  <c r="C90" i="1"/>
  <c r="AD90" i="1" s="1"/>
  <c r="C54" i="1"/>
  <c r="AD54" i="1" s="1"/>
  <c r="C89" i="1"/>
  <c r="AD89" i="1" s="1"/>
  <c r="C77" i="1"/>
  <c r="AD77" i="1" s="1"/>
  <c r="C65" i="1"/>
  <c r="AD65" i="1" s="1"/>
  <c r="C53" i="1"/>
  <c r="AD53" i="1" s="1"/>
  <c r="C41" i="1"/>
  <c r="AD41" i="1" s="1"/>
  <c r="C29" i="1"/>
  <c r="AD29" i="1" s="1"/>
  <c r="C38" i="1"/>
  <c r="AD38" i="1" s="1"/>
  <c r="C78" i="1"/>
  <c r="AD78" i="1" s="1"/>
  <c r="C42" i="1"/>
  <c r="AD42" i="1" s="1"/>
  <c r="C64" i="1"/>
  <c r="AD64" i="1" s="1"/>
  <c r="AD18" i="1"/>
  <c r="C73" i="1"/>
  <c r="AD73" i="1" s="1"/>
  <c r="C66" i="1"/>
  <c r="AD66" i="1" s="1"/>
  <c r="C30" i="1"/>
  <c r="AD30" i="1" s="1"/>
  <c r="C88" i="1"/>
  <c r="AD88" i="1" s="1"/>
  <c r="C76" i="1"/>
  <c r="AD76" i="1" s="1"/>
  <c r="C52" i="1"/>
  <c r="AD52" i="1" s="1"/>
  <c r="C40" i="1"/>
  <c r="AD40" i="1" s="1"/>
  <c r="C28" i="1"/>
  <c r="AD28" i="1" s="1"/>
  <c r="C87" i="1"/>
  <c r="AD87" i="1" s="1"/>
  <c r="C75" i="1"/>
  <c r="AD75" i="1" s="1"/>
  <c r="C63" i="1"/>
  <c r="AD63" i="1" s="1"/>
  <c r="C51" i="1"/>
  <c r="AD51" i="1" s="1"/>
  <c r="C39" i="1"/>
  <c r="AD39" i="1" s="1"/>
  <c r="C27" i="1"/>
  <c r="AD27" i="1" s="1"/>
  <c r="C74" i="1"/>
  <c r="AD74" i="1" s="1"/>
  <c r="C85" i="1"/>
  <c r="AD85" i="1" s="1"/>
  <c r="C61" i="1"/>
  <c r="AD61" i="1" s="1"/>
  <c r="C49" i="1"/>
  <c r="AD49" i="1" s="1"/>
  <c r="C37" i="1"/>
  <c r="AD37" i="1" s="1"/>
  <c r="C60" i="1"/>
  <c r="AD60" i="1" s="1"/>
  <c r="C24" i="1"/>
  <c r="C59" i="1"/>
  <c r="AD59" i="1" s="1"/>
  <c r="C94" i="1"/>
  <c r="AD94" i="1" s="1"/>
  <c r="C70" i="1"/>
  <c r="AD70" i="1" s="1"/>
  <c r="C46" i="1"/>
  <c r="AD46" i="1" s="1"/>
  <c r="C22" i="1"/>
  <c r="C81" i="1"/>
  <c r="AD81" i="1" s="1"/>
  <c r="C45" i="1"/>
  <c r="AD45" i="1" s="1"/>
  <c r="C92" i="1"/>
  <c r="AD92" i="1" s="1"/>
  <c r="C80" i="1"/>
  <c r="AD80" i="1" s="1"/>
  <c r="C68" i="1"/>
  <c r="AD68" i="1" s="1"/>
  <c r="C56" i="1"/>
  <c r="AD56" i="1" s="1"/>
  <c r="C44" i="1"/>
  <c r="AD44" i="1" s="1"/>
  <c r="C32" i="1"/>
  <c r="AD32" i="1" s="1"/>
  <c r="C20" i="1"/>
  <c r="AD20" i="1" s="1"/>
  <c r="C62" i="1"/>
  <c r="AD62" i="1" s="1"/>
  <c r="C84" i="1"/>
  <c r="AD84" i="1" s="1"/>
  <c r="C72" i="1"/>
  <c r="AD72" i="1" s="1"/>
  <c r="C48" i="1"/>
  <c r="AD48" i="1" s="1"/>
  <c r="C36" i="1"/>
  <c r="AD36" i="1" s="1"/>
  <c r="C95" i="1"/>
  <c r="AD95" i="1" s="1"/>
  <c r="C83" i="1"/>
  <c r="AD83" i="1" s="1"/>
  <c r="C47" i="1"/>
  <c r="AD47" i="1" s="1"/>
  <c r="C23" i="1"/>
  <c r="C82" i="1"/>
  <c r="AD82" i="1" s="1"/>
  <c r="C58" i="1"/>
  <c r="AD58" i="1" s="1"/>
  <c r="C34" i="1"/>
  <c r="AD34" i="1" s="1"/>
  <c r="C93" i="1"/>
  <c r="AD93" i="1" s="1"/>
  <c r="C69" i="1"/>
  <c r="AD69" i="1" s="1"/>
  <c r="C57" i="1"/>
  <c r="AD57" i="1" s="1"/>
  <c r="C33" i="1"/>
  <c r="AD33" i="1" s="1"/>
  <c r="C21" i="1"/>
  <c r="C91" i="1"/>
  <c r="AD91" i="1" s="1"/>
  <c r="C79" i="1"/>
  <c r="AD79" i="1" s="1"/>
  <c r="C67" i="1"/>
  <c r="AD67" i="1" s="1"/>
  <c r="C55" i="1"/>
  <c r="AD55" i="1" s="1"/>
  <c r="C43" i="1"/>
  <c r="AD43" i="1" s="1"/>
  <c r="C31" i="1"/>
  <c r="AD31" i="1" s="1"/>
  <c r="C19" i="1"/>
  <c r="AD19" i="1" s="1"/>
  <c r="E31" i="2" l="1"/>
  <c r="E16" i="2"/>
  <c r="BB4" i="1"/>
  <c r="BC4" i="1" s="1"/>
  <c r="AY6" i="1"/>
  <c r="BD6" i="1"/>
  <c r="BF6" i="1" s="1"/>
  <c r="BE18" i="1"/>
  <c r="BI18" i="1" s="1"/>
  <c r="BJ18" i="1" s="1"/>
  <c r="AT36" i="1"/>
  <c r="AY18" i="1"/>
  <c r="BD12" i="1"/>
  <c r="BK12" i="1" s="1"/>
  <c r="AY12" i="1"/>
  <c r="BB18" i="1"/>
  <c r="BC18" i="1" s="1"/>
  <c r="AT35" i="1"/>
  <c r="AY34" i="1"/>
  <c r="BI16" i="1"/>
  <c r="BJ16" i="1" s="1"/>
  <c r="BB16" i="1"/>
  <c r="BC16" i="1" s="1"/>
  <c r="BD14" i="1"/>
  <c r="BI14" i="1" s="1"/>
  <c r="BJ14" i="1" s="1"/>
  <c r="BB14" i="1"/>
  <c r="BC14" i="1" s="1"/>
  <c r="AY8" i="1"/>
  <c r="BD10" i="1"/>
  <c r="BF10" i="1" s="1"/>
  <c r="BB10" i="1"/>
  <c r="BC10" i="1" s="1"/>
  <c r="BD8" i="1"/>
  <c r="BI8" i="1" s="1"/>
  <c r="BJ8" i="1" s="1"/>
  <c r="AY10" i="1"/>
  <c r="BD4" i="1"/>
  <c r="BK4" i="1" s="1"/>
  <c r="BE4" i="1"/>
  <c r="BL4" i="1" s="1"/>
  <c r="BS4" i="1" s="1"/>
  <c r="AY4" i="1"/>
  <c r="CG16" i="1"/>
  <c r="CU6" i="1"/>
  <c r="BL14" i="1"/>
  <c r="BS14" i="1" s="1"/>
  <c r="BZ14" i="1" s="1"/>
  <c r="CG14" i="1" s="1"/>
  <c r="CN14" i="1" s="1"/>
  <c r="CU14" i="1" s="1"/>
  <c r="AY14" i="1"/>
  <c r="AY16" i="1"/>
  <c r="BL8" i="1"/>
  <c r="BS8" i="1" s="1"/>
  <c r="BZ8" i="1" s="1"/>
  <c r="CG8" i="1" s="1"/>
  <c r="BK18" i="1"/>
  <c r="BF16" i="1"/>
  <c r="BK16" i="1"/>
  <c r="BP16" i="1" s="1"/>
  <c r="BL10" i="1"/>
  <c r="BL12" i="1"/>
  <c r="BS12" i="1" s="1"/>
  <c r="BZ12" i="1" s="1"/>
  <c r="CG12" i="1" s="1"/>
  <c r="CN12" i="1" s="1"/>
  <c r="S4" i="1"/>
  <c r="R4" i="1" s="1"/>
  <c r="R8" i="1"/>
  <c r="R6" i="1"/>
  <c r="AI22" i="1"/>
  <c r="AD21" i="1"/>
  <c r="AU35" i="1" l="1"/>
  <c r="BK6" i="1"/>
  <c r="BP6" i="1" s="1"/>
  <c r="BQ6" i="1" s="1"/>
  <c r="BF18" i="1"/>
  <c r="BI6" i="1"/>
  <c r="BJ6" i="1" s="1"/>
  <c r="BI12" i="1"/>
  <c r="BJ12" i="1" s="1"/>
  <c r="BF12" i="1"/>
  <c r="BI4" i="1"/>
  <c r="BJ4" i="1" s="1"/>
  <c r="G31" i="2" s="1"/>
  <c r="BL18" i="1"/>
  <c r="BM18" i="1" s="1"/>
  <c r="AU36" i="1"/>
  <c r="AV35" i="1"/>
  <c r="BF8" i="1"/>
  <c r="BK14" i="1"/>
  <c r="BP14" i="1" s="1"/>
  <c r="BQ14" i="1" s="1"/>
  <c r="BF14" i="1"/>
  <c r="AZ34" i="1"/>
  <c r="BP12" i="1"/>
  <c r="BQ12" i="1" s="1"/>
  <c r="BP4" i="1"/>
  <c r="BQ4" i="1" s="1"/>
  <c r="BK10" i="1"/>
  <c r="BM10" i="1" s="1"/>
  <c r="BI10" i="1"/>
  <c r="BJ10" i="1" s="1"/>
  <c r="BK8" i="1"/>
  <c r="BP8" i="1" s="1"/>
  <c r="BQ8" i="1" s="1"/>
  <c r="BF4" i="1"/>
  <c r="J8" i="1" s="1"/>
  <c r="U8" i="1" s="1"/>
  <c r="I8" i="1"/>
  <c r="T8" i="1" s="1"/>
  <c r="I4" i="1"/>
  <c r="T4" i="1" s="1"/>
  <c r="I5" i="1"/>
  <c r="T5" i="1" s="1"/>
  <c r="I6" i="1"/>
  <c r="T6" i="1" s="1"/>
  <c r="I7" i="1"/>
  <c r="T7" i="1" s="1"/>
  <c r="BS10" i="1"/>
  <c r="BQ16" i="1"/>
  <c r="BR16" i="1"/>
  <c r="BW16" i="1" s="1"/>
  <c r="BR18" i="1"/>
  <c r="BR12" i="1"/>
  <c r="BW12" i="1" s="1"/>
  <c r="F31" i="2"/>
  <c r="DB6" i="1"/>
  <c r="CU12" i="1"/>
  <c r="CN16" i="1"/>
  <c r="DB14" i="1"/>
  <c r="CN8" i="1"/>
  <c r="BR4" i="1"/>
  <c r="BM4" i="1"/>
  <c r="BZ4" i="1"/>
  <c r="BM12" i="1"/>
  <c r="BM16" i="1"/>
  <c r="AI23" i="1"/>
  <c r="AD22" i="1"/>
  <c r="BR6" i="1" l="1"/>
  <c r="BW6" i="1" s="1"/>
  <c r="BX6" i="1" s="1"/>
  <c r="BM6" i="1"/>
  <c r="BP18" i="1"/>
  <c r="BQ18" i="1" s="1"/>
  <c r="H31" i="2" s="1"/>
  <c r="BM14" i="1"/>
  <c r="AZ4" i="1"/>
  <c r="BA4" i="1" s="1"/>
  <c r="BR14" i="1"/>
  <c r="BW14" i="1" s="1"/>
  <c r="BX14" i="1" s="1"/>
  <c r="AZ6" i="1"/>
  <c r="BA6" i="1" s="1"/>
  <c r="BS18" i="1"/>
  <c r="BW18" i="1" s="1"/>
  <c r="BX18" i="1" s="1"/>
  <c r="AV36" i="1"/>
  <c r="AW35" i="1"/>
  <c r="BA34" i="1"/>
  <c r="AZ10" i="1"/>
  <c r="BA10" i="1" s="1"/>
  <c r="AZ8" i="1"/>
  <c r="BA8" i="1" s="1"/>
  <c r="BR8" i="1"/>
  <c r="BW8" i="1" s="1"/>
  <c r="BX8" i="1" s="1"/>
  <c r="BM8" i="1"/>
  <c r="BR10" i="1"/>
  <c r="BT10" i="1" s="1"/>
  <c r="BP10" i="1"/>
  <c r="BQ10" i="1" s="1"/>
  <c r="BW4" i="1"/>
  <c r="BX4" i="1" s="1"/>
  <c r="AZ14" i="1"/>
  <c r="BA14" i="1" s="1"/>
  <c r="AZ16" i="1"/>
  <c r="BA16" i="1" s="1"/>
  <c r="AZ12" i="1"/>
  <c r="BA12" i="1" s="1"/>
  <c r="J6" i="1"/>
  <c r="U6" i="1" s="1"/>
  <c r="J5" i="1"/>
  <c r="U5" i="1" s="1"/>
  <c r="J4" i="1"/>
  <c r="U4" i="1" s="1"/>
  <c r="J7" i="1"/>
  <c r="U7" i="1" s="1"/>
  <c r="AZ18" i="1"/>
  <c r="BA18" i="1" s="1"/>
  <c r="K5" i="1"/>
  <c r="V5" i="1" s="1"/>
  <c r="K4" i="1"/>
  <c r="V4" i="1" s="1"/>
  <c r="K6" i="1"/>
  <c r="V6" i="1" s="1"/>
  <c r="K7" i="1"/>
  <c r="V7" i="1" s="1"/>
  <c r="K8" i="1"/>
  <c r="V8" i="1" s="1"/>
  <c r="BZ10" i="1"/>
  <c r="BY18" i="1"/>
  <c r="BT16" i="1"/>
  <c r="BY16" i="1"/>
  <c r="CD16" i="1" s="1"/>
  <c r="BX16" i="1"/>
  <c r="BT12" i="1"/>
  <c r="BX12" i="1"/>
  <c r="BY12" i="1"/>
  <c r="CD12" i="1" s="1"/>
  <c r="CU16" i="1"/>
  <c r="DB12" i="1"/>
  <c r="CU8" i="1"/>
  <c r="CG4" i="1"/>
  <c r="BT4" i="1"/>
  <c r="BY4" i="1"/>
  <c r="AI24" i="1"/>
  <c r="AD23" i="1"/>
  <c r="F30" i="2" l="1"/>
  <c r="BG8" i="1"/>
  <c r="BH8" i="1" s="1"/>
  <c r="BY6" i="1"/>
  <c r="CD6" i="1" s="1"/>
  <c r="CE6" i="1" s="1"/>
  <c r="BT6" i="1"/>
  <c r="BY8" i="1"/>
  <c r="CD8" i="1" s="1"/>
  <c r="CE8" i="1" s="1"/>
  <c r="BG10" i="1"/>
  <c r="BH10" i="1" s="1"/>
  <c r="BG18" i="1"/>
  <c r="BH18" i="1" s="1"/>
  <c r="BN18" i="1"/>
  <c r="BO18" i="1" s="1"/>
  <c r="BG12" i="1"/>
  <c r="BH12" i="1" s="1"/>
  <c r="BG6" i="1"/>
  <c r="BH6" i="1" s="1"/>
  <c r="BG14" i="1"/>
  <c r="BH14" i="1" s="1"/>
  <c r="BG16" i="1"/>
  <c r="BH16" i="1" s="1"/>
  <c r="BG4" i="1"/>
  <c r="BH4" i="1" s="1"/>
  <c r="BT18" i="1"/>
  <c r="BT14" i="1"/>
  <c r="BY14" i="1"/>
  <c r="CD14" i="1" s="1"/>
  <c r="CE14" i="1" s="1"/>
  <c r="BZ18" i="1"/>
  <c r="CD18" i="1" s="1"/>
  <c r="CE18" i="1" s="1"/>
  <c r="AW36" i="1"/>
  <c r="BT8" i="1"/>
  <c r="AX35" i="1"/>
  <c r="BB34" i="1"/>
  <c r="CD4" i="1"/>
  <c r="CE4" i="1" s="1"/>
  <c r="BW10" i="1"/>
  <c r="BX10" i="1" s="1"/>
  <c r="BY10" i="1"/>
  <c r="CA10" i="1" s="1"/>
  <c r="BN8" i="1"/>
  <c r="BO8" i="1" s="1"/>
  <c r="BN10" i="1"/>
  <c r="BO10" i="1" s="1"/>
  <c r="BN12" i="1"/>
  <c r="BO12" i="1" s="1"/>
  <c r="BN4" i="1"/>
  <c r="BO4" i="1" s="1"/>
  <c r="BN6" i="1"/>
  <c r="BO6" i="1" s="1"/>
  <c r="I31" i="2"/>
  <c r="BN16" i="1"/>
  <c r="BO16" i="1" s="1"/>
  <c r="BN14" i="1"/>
  <c r="BO14" i="1" s="1"/>
  <c r="L7" i="1"/>
  <c r="W7" i="1" s="1"/>
  <c r="L8" i="1"/>
  <c r="W8" i="1" s="1"/>
  <c r="L4" i="1"/>
  <c r="W4" i="1" s="1"/>
  <c r="L5" i="1"/>
  <c r="W5" i="1" s="1"/>
  <c r="L6" i="1"/>
  <c r="W6" i="1" s="1"/>
  <c r="S7" i="1"/>
  <c r="S5" i="1"/>
  <c r="R5" i="1" s="1"/>
  <c r="CG10" i="1"/>
  <c r="CF16" i="1"/>
  <c r="CK16" i="1" s="1"/>
  <c r="CE16" i="1"/>
  <c r="CA16" i="1"/>
  <c r="CF18" i="1"/>
  <c r="CF12" i="1"/>
  <c r="CK12" i="1" s="1"/>
  <c r="CA12" i="1"/>
  <c r="CE12" i="1"/>
  <c r="DB8" i="1"/>
  <c r="DB16" i="1"/>
  <c r="CN4" i="1"/>
  <c r="CF4" i="1"/>
  <c r="CK4" i="1" s="1"/>
  <c r="CA4" i="1"/>
  <c r="AI25" i="1"/>
  <c r="AD25" i="1" s="1"/>
  <c r="AD24" i="1"/>
  <c r="G30" i="2" l="1"/>
  <c r="CA8" i="1"/>
  <c r="CA6" i="1"/>
  <c r="CF6" i="1"/>
  <c r="CK6" i="1" s="1"/>
  <c r="CL6" i="1" s="1"/>
  <c r="CF8" i="1"/>
  <c r="CK8" i="1" s="1"/>
  <c r="CL8" i="1" s="1"/>
  <c r="CA18" i="1"/>
  <c r="R7" i="1"/>
  <c r="E15" i="2" s="1"/>
  <c r="E17" i="2" s="1"/>
  <c r="AS10" i="1"/>
  <c r="AT10" i="1" s="1"/>
  <c r="AS12" i="1"/>
  <c r="AT12" i="1" s="1"/>
  <c r="AS14" i="1"/>
  <c r="AT14" i="1" s="1"/>
  <c r="AS4" i="1"/>
  <c r="AT4" i="1" s="1"/>
  <c r="AS6" i="1"/>
  <c r="AT6" i="1" s="1"/>
  <c r="AS8" i="1"/>
  <c r="AT8" i="1" s="1"/>
  <c r="AS16" i="1"/>
  <c r="AT16" i="1" s="1"/>
  <c r="AS18" i="1"/>
  <c r="AT18" i="1" s="1"/>
  <c r="CF14" i="1"/>
  <c r="CK14" i="1" s="1"/>
  <c r="CL14" i="1" s="1"/>
  <c r="CA14" i="1"/>
  <c r="AX36" i="1"/>
  <c r="CG18" i="1"/>
  <c r="CH18" i="1" s="1"/>
  <c r="CD10" i="1"/>
  <c r="CE10" i="1" s="1"/>
  <c r="CF10" i="1"/>
  <c r="J31" i="2"/>
  <c r="H30" i="2"/>
  <c r="M4" i="1"/>
  <c r="X4" i="1" s="1"/>
  <c r="M7" i="1"/>
  <c r="X7" i="1" s="1"/>
  <c r="M8" i="1"/>
  <c r="X8" i="1" s="1"/>
  <c r="M5" i="1"/>
  <c r="X5" i="1" s="1"/>
  <c r="M6" i="1"/>
  <c r="X6" i="1" s="1"/>
  <c r="CN10" i="1"/>
  <c r="CM16" i="1"/>
  <c r="CR16" i="1" s="1"/>
  <c r="CH16" i="1"/>
  <c r="CL16" i="1"/>
  <c r="CM12" i="1"/>
  <c r="CR12" i="1" s="1"/>
  <c r="CH12" i="1"/>
  <c r="CL12" i="1"/>
  <c r="CM18" i="1"/>
  <c r="BU18" i="1"/>
  <c r="BV18" i="1" s="1"/>
  <c r="BU16" i="1"/>
  <c r="BV16" i="1" s="1"/>
  <c r="BU14" i="1"/>
  <c r="BV14" i="1" s="1"/>
  <c r="BU12" i="1"/>
  <c r="BV12" i="1" s="1"/>
  <c r="BU10" i="1"/>
  <c r="BV10" i="1" s="1"/>
  <c r="BU8" i="1"/>
  <c r="BV8" i="1" s="1"/>
  <c r="BU6" i="1"/>
  <c r="BV6" i="1" s="1"/>
  <c r="BU4" i="1"/>
  <c r="BV4" i="1" s="1"/>
  <c r="CH4" i="1"/>
  <c r="CM4" i="1"/>
  <c r="CR4" i="1" s="1"/>
  <c r="CL4" i="1"/>
  <c r="CU4" i="1"/>
  <c r="AY35" i="1" l="1"/>
  <c r="E30" i="2"/>
  <c r="CH6" i="1"/>
  <c r="CM6" i="1"/>
  <c r="CR6" i="1" s="1"/>
  <c r="CS6" i="1" s="1"/>
  <c r="CK18" i="1"/>
  <c r="CL18" i="1" s="1"/>
  <c r="K31" i="2" s="1"/>
  <c r="CH8" i="1"/>
  <c r="CM8" i="1"/>
  <c r="CR8" i="1" s="1"/>
  <c r="CS8" i="1" s="1"/>
  <c r="CH14" i="1"/>
  <c r="CM14" i="1"/>
  <c r="CR14" i="1" s="1"/>
  <c r="CS14" i="1" s="1"/>
  <c r="AY36" i="1"/>
  <c r="CN18" i="1"/>
  <c r="CR18" i="1" s="1"/>
  <c r="CS18" i="1" s="1"/>
  <c r="AZ35" i="1"/>
  <c r="CK10" i="1"/>
  <c r="CL10" i="1" s="1"/>
  <c r="CM10" i="1"/>
  <c r="CO10" i="1" s="1"/>
  <c r="CH10" i="1"/>
  <c r="N4" i="1"/>
  <c r="Y4" i="1" s="1"/>
  <c r="N6" i="1"/>
  <c r="Y6" i="1" s="1"/>
  <c r="N7" i="1"/>
  <c r="Y7" i="1" s="1"/>
  <c r="N5" i="1"/>
  <c r="Y5" i="1" s="1"/>
  <c r="N8" i="1"/>
  <c r="Y8" i="1" s="1"/>
  <c r="CU10" i="1"/>
  <c r="CT18" i="1"/>
  <c r="CT12" i="1"/>
  <c r="CY12" i="1" s="1"/>
  <c r="CO12" i="1"/>
  <c r="CS12" i="1"/>
  <c r="CT16" i="1"/>
  <c r="CY16" i="1" s="1"/>
  <c r="CS16" i="1"/>
  <c r="CO16" i="1"/>
  <c r="I30" i="2"/>
  <c r="CB6" i="1"/>
  <c r="CC6" i="1" s="1"/>
  <c r="CB18" i="1"/>
  <c r="CC18" i="1" s="1"/>
  <c r="CB10" i="1"/>
  <c r="CC10" i="1" s="1"/>
  <c r="CB16" i="1"/>
  <c r="CC16" i="1" s="1"/>
  <c r="CB14" i="1"/>
  <c r="CC14" i="1" s="1"/>
  <c r="CB12" i="1"/>
  <c r="CC12" i="1" s="1"/>
  <c r="CB4" i="1"/>
  <c r="CC4" i="1" s="1"/>
  <c r="CB8" i="1"/>
  <c r="CC8" i="1" s="1"/>
  <c r="CO4" i="1"/>
  <c r="CT4" i="1"/>
  <c r="DB4" i="1"/>
  <c r="CS4" i="1"/>
  <c r="CT14" i="1" l="1"/>
  <c r="CY14" i="1" s="1"/>
  <c r="CZ14" i="1" s="1"/>
  <c r="CT6" i="1"/>
  <c r="CY6" i="1" s="1"/>
  <c r="CZ6" i="1" s="1"/>
  <c r="CO6" i="1"/>
  <c r="CO8" i="1"/>
  <c r="CT8" i="1"/>
  <c r="CY8" i="1" s="1"/>
  <c r="CZ8" i="1" s="1"/>
  <c r="CO14" i="1"/>
  <c r="CO18" i="1"/>
  <c r="AZ36" i="1"/>
  <c r="CU18" i="1"/>
  <c r="CY18" i="1" s="1"/>
  <c r="CZ18" i="1" s="1"/>
  <c r="CY4" i="1"/>
  <c r="CZ4" i="1" s="1"/>
  <c r="CR10" i="1"/>
  <c r="CS10" i="1" s="1"/>
  <c r="CT10" i="1"/>
  <c r="CV10" i="1" s="1"/>
  <c r="J30" i="2"/>
  <c r="O5" i="1"/>
  <c r="Z5" i="1" s="1"/>
  <c r="O7" i="1"/>
  <c r="Z7" i="1" s="1"/>
  <c r="O4" i="1"/>
  <c r="Z4" i="1" s="1"/>
  <c r="O6" i="1"/>
  <c r="Z6" i="1" s="1"/>
  <c r="O8" i="1"/>
  <c r="Z8" i="1" s="1"/>
  <c r="L31" i="2"/>
  <c r="DB10" i="1"/>
  <c r="DA12" i="1"/>
  <c r="DF12" i="1" s="1"/>
  <c r="CZ12" i="1"/>
  <c r="CV12" i="1"/>
  <c r="DA18" i="1"/>
  <c r="DA14" i="1"/>
  <c r="DF14" i="1" s="1"/>
  <c r="DA16" i="1"/>
  <c r="DF16" i="1" s="1"/>
  <c r="DG16" i="1" s="1"/>
  <c r="CZ16" i="1"/>
  <c r="CV16" i="1"/>
  <c r="CI14" i="1"/>
  <c r="CJ14" i="1" s="1"/>
  <c r="CI12" i="1"/>
  <c r="CJ12" i="1" s="1"/>
  <c r="CI10" i="1"/>
  <c r="CJ10" i="1" s="1"/>
  <c r="CI8" i="1"/>
  <c r="CJ8" i="1" s="1"/>
  <c r="CI6" i="1"/>
  <c r="CJ6" i="1" s="1"/>
  <c r="CI4" i="1"/>
  <c r="CJ4" i="1" s="1"/>
  <c r="CI16" i="1"/>
  <c r="CJ16" i="1" s="1"/>
  <c r="CI18" i="1"/>
  <c r="CJ18" i="1" s="1"/>
  <c r="CV4" i="1"/>
  <c r="DA4" i="1"/>
  <c r="BA35" i="1" l="1"/>
  <c r="CV14" i="1"/>
  <c r="CV6" i="1"/>
  <c r="CV8" i="1"/>
  <c r="DA6" i="1"/>
  <c r="DF6" i="1" s="1"/>
  <c r="DG6" i="1" s="1"/>
  <c r="CV18" i="1"/>
  <c r="DA8" i="1"/>
  <c r="DF8" i="1" s="1"/>
  <c r="DG8" i="1" s="1"/>
  <c r="BA36" i="1"/>
  <c r="DB18" i="1"/>
  <c r="BB36" i="1" s="1"/>
  <c r="BB35" i="1"/>
  <c r="CY10" i="1"/>
  <c r="CZ10" i="1" s="1"/>
  <c r="DA10" i="1"/>
  <c r="DF10" i="1" s="1"/>
  <c r="DG10" i="1" s="1"/>
  <c r="DC4" i="1"/>
  <c r="Q7" i="1" s="1"/>
  <c r="AB7" i="1" s="1"/>
  <c r="DF4" i="1"/>
  <c r="DG4" i="1" s="1"/>
  <c r="K30" i="2"/>
  <c r="M31" i="2"/>
  <c r="P5" i="1"/>
  <c r="AA5" i="1" s="1"/>
  <c r="P4" i="1"/>
  <c r="AA4" i="1" s="1"/>
  <c r="P6" i="1"/>
  <c r="AA6" i="1" s="1"/>
  <c r="P7" i="1"/>
  <c r="AA7" i="1" s="1"/>
  <c r="P8" i="1"/>
  <c r="AA8" i="1" s="1"/>
  <c r="DC16" i="1"/>
  <c r="DC12" i="1"/>
  <c r="DG12" i="1"/>
  <c r="DC14" i="1"/>
  <c r="DG14" i="1"/>
  <c r="CP18" i="1"/>
  <c r="CQ18" i="1" s="1"/>
  <c r="CP16" i="1"/>
  <c r="CQ16" i="1" s="1"/>
  <c r="CP14" i="1"/>
  <c r="CQ14" i="1" s="1"/>
  <c r="CP12" i="1"/>
  <c r="CQ12" i="1" s="1"/>
  <c r="CP4" i="1"/>
  <c r="CQ4" i="1" s="1"/>
  <c r="CP6" i="1"/>
  <c r="CQ6" i="1" s="1"/>
  <c r="CP10" i="1"/>
  <c r="CQ10" i="1" s="1"/>
  <c r="CP8" i="1"/>
  <c r="CQ8" i="1" s="1"/>
  <c r="DC18" i="1" l="1"/>
  <c r="DF18" i="1"/>
  <c r="DG18" i="1" s="1"/>
  <c r="N31" i="2" s="1"/>
  <c r="DC6" i="1"/>
  <c r="DC8" i="1"/>
  <c r="DC10" i="1"/>
  <c r="Q6" i="1"/>
  <c r="AB6" i="1" s="1"/>
  <c r="Q5" i="1"/>
  <c r="AB5" i="1" s="1"/>
  <c r="Q4" i="1"/>
  <c r="AB4" i="1" s="1"/>
  <c r="Q8" i="1"/>
  <c r="AB8" i="1" s="1"/>
  <c r="L30" i="2"/>
  <c r="CW10" i="1"/>
  <c r="CX10" i="1" s="1"/>
  <c r="CW8" i="1"/>
  <c r="CX8" i="1" s="1"/>
  <c r="CW6" i="1"/>
  <c r="CX6" i="1" s="1"/>
  <c r="CW4" i="1"/>
  <c r="CX4" i="1" s="1"/>
  <c r="CW18" i="1"/>
  <c r="CX18" i="1" s="1"/>
  <c r="CW16" i="1"/>
  <c r="CX16" i="1" s="1"/>
  <c r="CW14" i="1"/>
  <c r="CX14" i="1" s="1"/>
  <c r="CW12" i="1"/>
  <c r="CX12" i="1" s="1"/>
  <c r="DD14" i="1" l="1"/>
  <c r="DE14" i="1" s="1"/>
  <c r="DD10" i="1"/>
  <c r="DE10" i="1" s="1"/>
  <c r="DD16" i="1"/>
  <c r="DE16" i="1" s="1"/>
  <c r="DD18" i="1"/>
  <c r="DE18" i="1" s="1"/>
  <c r="DD6" i="1"/>
  <c r="DE6" i="1" s="1"/>
  <c r="DD8" i="1"/>
  <c r="DE8" i="1" s="1"/>
  <c r="DD4" i="1"/>
  <c r="DE4" i="1" s="1"/>
  <c r="DD12" i="1"/>
  <c r="DE12" i="1" s="1"/>
  <c r="M30" i="2"/>
  <c r="N30"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<sst xmlns="http://schemas.openxmlformats.org/spreadsheetml/2006/main" count="203" uniqueCount="81">
  <si>
    <t>m</t>
  </si>
  <si>
    <t>mil</t>
  </si>
  <si>
    <t>x1</t>
  </si>
  <si>
    <t>x2</t>
  </si>
  <si>
    <t>x3</t>
  </si>
  <si>
    <t>x4</t>
  </si>
  <si>
    <t>x5</t>
  </si>
  <si>
    <t>x6</t>
  </si>
  <si>
    <t>x7</t>
  </si>
  <si>
    <t>x8</t>
  </si>
  <si>
    <t>mil - 0 Ringe</t>
  </si>
  <si>
    <t>mil - 1 Ring</t>
  </si>
  <si>
    <t>mil - 2 Ringe</t>
  </si>
  <si>
    <t>mil - 3 Ringe</t>
  </si>
  <si>
    <t>mil - 4 Ringe</t>
  </si>
  <si>
    <t>Ostwert</t>
  </si>
  <si>
    <t>Nordwert</t>
  </si>
  <si>
    <t>Ziel</t>
  </si>
  <si>
    <t>Koordinaten</t>
  </si>
  <si>
    <t>Azimut</t>
  </si>
  <si>
    <t>Grad</t>
  </si>
  <si>
    <t>MIL</t>
  </si>
  <si>
    <t>Meter</t>
  </si>
  <si>
    <t>Stk.</t>
  </si>
  <si>
    <t>Flugzeit</t>
  </si>
  <si>
    <t>Höhe</t>
  </si>
  <si>
    <t>∆ ELEV Höhe</t>
  </si>
  <si>
    <t>ELEV Gesamt</t>
  </si>
  <si>
    <t>Anzahl der Ringe:</t>
  </si>
  <si>
    <t>Entfernung zum Ziel:</t>
  </si>
  <si>
    <t>ELEV:</t>
  </si>
  <si>
    <t>Winkel</t>
  </si>
  <si>
    <t>N</t>
  </si>
  <si>
    <t>NE</t>
  </si>
  <si>
    <t>E</t>
  </si>
  <si>
    <t>SE</t>
  </si>
  <si>
    <t>SW</t>
  </si>
  <si>
    <t>S</t>
  </si>
  <si>
    <t>W</t>
  </si>
  <si>
    <t>NW</t>
  </si>
  <si>
    <t>1.</t>
  </si>
  <si>
    <t>2.</t>
  </si>
  <si>
    <t>3.</t>
  </si>
  <si>
    <t>4.</t>
  </si>
  <si>
    <t>5.</t>
  </si>
  <si>
    <t>6.</t>
  </si>
  <si>
    <t>7.</t>
  </si>
  <si>
    <t>8.</t>
  </si>
  <si>
    <t>9.</t>
  </si>
  <si>
    <t>10.</t>
  </si>
  <si>
    <t>Entfernung</t>
  </si>
  <si>
    <t>OW</t>
  </si>
  <si>
    <t>Polynome Flugbahn</t>
  </si>
  <si>
    <t>Polynome Delta ELEV Höhe</t>
  </si>
  <si>
    <t>Entfernung Ziel</t>
  </si>
  <si>
    <t>Entf m</t>
  </si>
  <si>
    <t>ELEV MIL</t>
  </si>
  <si>
    <t>ELEV ges</t>
  </si>
  <si>
    <t>Wi °</t>
  </si>
  <si>
    <t>WI MIL</t>
  </si>
  <si>
    <t>ELEV</t>
  </si>
  <si>
    <t>in Richtung</t>
  </si>
  <si>
    <t>↑</t>
  </si>
  <si>
    <t>↗</t>
  </si>
  <si>
    <t>→</t>
  </si>
  <si>
    <t>↘</t>
  </si>
  <si>
    <t>↓</t>
  </si>
  <si>
    <t>↙</t>
  </si>
  <si>
    <t>←</t>
  </si>
  <si>
    <t>↖</t>
  </si>
  <si>
    <t>Einstellungen</t>
  </si>
  <si>
    <t>Standort</t>
  </si>
  <si>
    <t>Ringe</t>
  </si>
  <si>
    <t>Hilfswert</t>
  </si>
  <si>
    <t>Zeit in Sekunden</t>
  </si>
  <si>
    <t>Folge</t>
  </si>
  <si>
    <t>NEIN</t>
  </si>
  <si>
    <t>Aktivieren</t>
  </si>
  <si>
    <t>x</t>
  </si>
  <si>
    <t>y</t>
  </si>
  <si>
    <t>Sek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</si>
</sst>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1"/>
      <color theme="1"/>
      <name val="Aptos Narrow"/>
      <family val="2"/>
      <scheme val="minor"/>
    </font>
    <font>
      <b/>
      <sz val="14"/>
      <color theme="1"/>
      <name val="Aptos Narrow"/>
      <family val="2"/>
      <scheme val="minor"/>
    </font>
    <font>
      <sz val="11"/>
      <color theme="1"/>
      <name val="Aptos Narrow"/>
      <family val="2"/>
    </font>
    <font>
      <sz val="20"/>
      <color theme="1"/>
      <name val="Batang"/>
      <family val="1"/>
      <charset val="129"/>
    </font>
    <font>
      <sz val="26"/>
      <color theme="1"/>
      <name val="Batang"/>
      <family val="1"/>
      <charset val="129"/>
    </font>
    <font>
      <b/>
      <sz val="18"/>
      <color theme="1"/>
      <name val="Aptos Narrow"/>
      <family val="2"/>
      <scheme val="minor"/>
    </font>
    <font>
      <sz val="11"/>
      <color theme="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tint="0.59999389629810485"/>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1">
    <xf numFmtId="0" fontId="0" fillId="0" borderId="0" xfId="0"/>
    <xf numFmtId="0" fontId="0" fillId="0" borderId="0" xfId="0" quotePrefix="1"/>
    <xf numFmtId="0" fontId="0" fillId="0" borderId="0" xfId="0" applyAlignment="1">
      <alignment horizontal="right"/>
    </xf>
    <xf numFmtId="0" fontId="0" fillId="0" borderId="0" xfId="0" quotePrefix="1" applyAlignment="1">
      <alignment horizontal="right"/>
    </xf>
    <xf numFmtId="0" fontId="0" fillId="2" borderId="0" xfId="0" applyFill="1" applyAlignment="1">
      <alignment horizontal="right"/>
    </xf>
    <xf numFmtId="1" fontId="0" fillId="0" borderId="0" xfId="0" applyNumberFormat="1" applyAlignment="1">
      <alignment horizontal="right"/>
    </xf>
    <xf numFmtId="1" fontId="0" fillId="2" borderId="0" xfId="0" applyNumberFormat="1" applyFill="1" applyAlignment="1">
      <alignment horizontal="right"/>
    </xf>
    <xf numFmtId="2" fontId="0" fillId="0" borderId="0" xfId="0" applyNumberFormat="1"/>
    <xf numFmtId="0" fontId="0" fillId="0" borderId="5" xfId="0" applyBorder="1"/>
    <xf numFmtId="0" fontId="0" fillId="0" borderId="8" xfId="0" applyBorder="1"/>
    <xf numFmtId="0" fontId="1" fillId="0" borderId="4" xfId="0" applyFont="1" applyBorder="1" applyAlignment="1">
      <alignment horizontal="right"/>
    </xf>
    <xf numFmtId="0" fontId="1" fillId="0" borderId="5" xfId="0" applyFont="1" applyBorder="1"/>
    <xf numFmtId="0" fontId="1" fillId="0" borderId="9" xfId="0" applyFont="1" applyBorder="1" applyAlignment="1">
      <alignment horizontal="right"/>
    </xf>
    <xf numFmtId="0" fontId="1" fillId="0" borderId="11" xfId="0" applyFont="1" applyBorder="1" applyAlignment="1">
      <alignment horizontal="right"/>
    </xf>
    <xf numFmtId="0" fontId="0" fillId="4" borderId="10" xfId="0" applyFill="1" applyBorder="1" applyAlignment="1">
      <alignment horizontal="right"/>
    </xf>
    <xf numFmtId="0" fontId="0" fillId="0" borderId="4" xfId="0" applyBorder="1" applyAlignment="1">
      <alignment horizontal="center"/>
    </xf>
    <xf numFmtId="0" fontId="0" fillId="0" borderId="5" xfId="0" applyBorder="1" applyAlignment="1">
      <alignment horizontal="center"/>
    </xf>
    <xf numFmtId="0" fontId="0" fillId="0" borderId="4" xfId="0" applyBorder="1"/>
    <xf numFmtId="0" fontId="0" fillId="4" borderId="9" xfId="0" applyFill="1" applyBorder="1"/>
    <xf numFmtId="0" fontId="0" fillId="4" borderId="16" xfId="0" applyFill="1" applyBorder="1"/>
    <xf numFmtId="0" fontId="0" fillId="0" borderId="6" xfId="0" applyBorder="1"/>
    <xf numFmtId="0" fontId="0" fillId="0" borderId="7" xfId="0" applyBorder="1"/>
    <xf numFmtId="0" fontId="0" fillId="6" borderId="5" xfId="0" applyFill="1" applyBorder="1"/>
    <xf numFmtId="0" fontId="2" fillId="5" borderId="5" xfId="0" applyFont="1" applyFill="1" applyBorder="1"/>
    <xf numFmtId="0" fontId="2" fillId="5" borderId="4" xfId="0" applyFont="1" applyFill="1" applyBorder="1" applyAlignment="1">
      <alignment horizontal="right"/>
    </xf>
    <xf numFmtId="0" fontId="0" fillId="6" borderId="15" xfId="0" applyFill="1" applyBorder="1" applyAlignment="1">
      <alignment horizontal="right"/>
    </xf>
    <xf numFmtId="1" fontId="0" fillId="6" borderId="15" xfId="0" quotePrefix="1" applyNumberFormat="1" applyFill="1" applyBorder="1"/>
    <xf numFmtId="0" fontId="0" fillId="6" borderId="18" xfId="0" applyFill="1" applyBorder="1"/>
    <xf numFmtId="0" fontId="2" fillId="5" borderId="15" xfId="0" applyFont="1" applyFill="1" applyBorder="1" applyAlignment="1">
      <alignment horizontal="right"/>
    </xf>
    <xf numFmtId="1" fontId="2" fillId="5" borderId="15" xfId="0" quotePrefix="1" applyNumberFormat="1" applyFont="1" applyFill="1" applyBorder="1"/>
    <xf numFmtId="0" fontId="2" fillId="5" borderId="18" xfId="0" applyFont="1" applyFill="1" applyBorder="1"/>
    <xf numFmtId="0" fontId="0" fillId="3" borderId="10" xfId="0" quotePrefix="1" applyFill="1" applyBorder="1" applyAlignment="1" applyProtection="1">
      <alignment horizontal="right"/>
      <protection locked="0"/>
    </xf>
    <xf numFmtId="0" fontId="0" fillId="3" borderId="13" xfId="0" quotePrefix="1" applyFill="1" applyBorder="1" applyAlignment="1" applyProtection="1">
      <alignment horizontal="right"/>
      <protection locked="0"/>
    </xf>
    <xf numFmtId="0" fontId="0" fillId="3" borderId="12" xfId="0" quotePrefix="1" applyFill="1" applyBorder="1" applyAlignment="1" applyProtection="1">
      <alignment horizontal="right"/>
      <protection locked="0"/>
    </xf>
    <xf numFmtId="0" fontId="0" fillId="3" borderId="14" xfId="0" quotePrefix="1" applyFill="1" applyBorder="1" applyAlignment="1" applyProtection="1">
      <alignment horizontal="right"/>
      <protection locked="0"/>
    </xf>
    <xf numFmtId="1" fontId="0" fillId="0" borderId="0" xfId="0" applyNumberFormat="1"/>
    <xf numFmtId="0" fontId="0" fillId="0" borderId="20" xfId="0" applyBorder="1"/>
    <xf numFmtId="0" fontId="0" fillId="0" borderId="21" xfId="0" applyBorder="1"/>
    <xf numFmtId="1" fontId="0" fillId="0" borderId="21" xfId="0" applyNumberFormat="1" applyBorder="1"/>
    <xf numFmtId="0" fontId="0" fillId="0" borderId="22" xfId="0" applyBorder="1"/>
    <xf numFmtId="0" fontId="0" fillId="0" borderId="15" xfId="0" applyBorder="1"/>
    <xf numFmtId="0" fontId="0" fillId="0" borderId="23" xfId="0" applyBorder="1"/>
    <xf numFmtId="1" fontId="0" fillId="0" borderId="20" xfId="0" applyNumberFormat="1" applyBorder="1"/>
    <xf numFmtId="0" fontId="0" fillId="0" borderId="24" xfId="0" applyBorder="1"/>
    <xf numFmtId="0" fontId="0" fillId="0" borderId="25" xfId="0" applyBorder="1"/>
    <xf numFmtId="0" fontId="0" fillId="0" borderId="26" xfId="0" applyBorder="1"/>
    <xf numFmtId="0" fontId="3" fillId="0" borderId="0" xfId="0" applyFont="1"/>
    <xf numFmtId="1" fontId="0" fillId="4" borderId="10" xfId="0" applyNumberFormat="1" applyFill="1" applyBorder="1"/>
    <xf numFmtId="164" fontId="0" fillId="0" borderId="0" xfId="0" applyNumberFormat="1"/>
    <xf numFmtId="0" fontId="0" fillId="0" borderId="0" xfId="0" applyAlignment="1">
      <alignment horizontal="center"/>
    </xf>
    <xf numFmtId="0" fontId="0" fillId="0" borderId="7" xfId="0" applyBorder="1" applyAlignment="1">
      <alignment horizontal="right"/>
    </xf>
    <xf numFmtId="0" fontId="0" fillId="0" borderId="27" xfId="0" applyBorder="1"/>
    <xf numFmtId="0" fontId="0" fillId="0" borderId="28" xfId="0" applyBorder="1"/>
    <xf numFmtId="0" fontId="0" fillId="0" borderId="29" xfId="0" applyBorder="1"/>
    <xf numFmtId="0" fontId="2" fillId="0" borderId="27" xfId="0" applyFont="1" applyBorder="1"/>
    <xf numFmtId="0" fontId="2" fillId="0" borderId="28" xfId="0" applyFont="1" applyBorder="1" applyAlignment="1">
      <alignment horizontal="right" vertical="center"/>
    </xf>
    <xf numFmtId="0" fontId="5" fillId="0" borderId="29" xfId="0" applyFont="1" applyBorder="1"/>
    <xf numFmtId="1" fontId="2" fillId="5" borderId="0" xfId="0" applyNumberFormat="1" applyFont="1" applyFill="1"/>
    <xf numFmtId="1" fontId="2" fillId="5" borderId="5" xfId="0" applyNumberFormat="1" applyFont="1" applyFill="1" applyBorder="1"/>
    <xf numFmtId="1" fontId="2" fillId="5" borderId="7" xfId="0" applyNumberFormat="1" applyFont="1" applyFill="1" applyBorder="1"/>
    <xf numFmtId="1" fontId="2" fillId="5" borderId="8" xfId="0" applyNumberFormat="1" applyFont="1" applyFill="1" applyBorder="1"/>
    <xf numFmtId="0" fontId="7" fillId="0" borderId="5" xfId="0" applyFont="1" applyBorder="1"/>
    <xf numFmtId="0" fontId="0" fillId="6" borderId="4" xfId="0" applyFill="1" applyBorder="1"/>
    <xf numFmtId="0" fontId="0" fillId="5" borderId="17" xfId="0" applyFill="1" applyBorder="1"/>
    <xf numFmtId="0" fontId="0" fillId="7" borderId="17" xfId="0" applyFill="1" applyBorder="1"/>
    <xf numFmtId="0" fontId="0" fillId="0" borderId="1" xfId="0" applyBorder="1"/>
    <xf numFmtId="0" fontId="0" fillId="0" borderId="2" xfId="0" applyBorder="1"/>
    <xf numFmtId="0" fontId="0" fillId="0" borderId="3" xfId="0" applyBorder="1"/>
    <xf numFmtId="0" fontId="1" fillId="0" borderId="0" xfId="0" applyFont="1" applyAlignment="1">
      <alignment horizontal="right"/>
    </xf>
    <xf numFmtId="0" fontId="0" fillId="0" borderId="4" xfId="0" quotePrefix="1" applyBorder="1"/>
    <xf numFmtId="0" fontId="0" fillId="3" borderId="0" xfId="0" applyFill="1" applyProtection="1">
      <protection locked="0"/>
    </xf>
    <xf numFmtId="0" fontId="0" fillId="6" borderId="0" xfId="0" applyFill="1" applyAlignment="1">
      <alignment horizontal="right"/>
    </xf>
    <xf numFmtId="1" fontId="0" fillId="6" borderId="0" xfId="0" quotePrefix="1" applyNumberFormat="1" applyFill="1"/>
    <xf numFmtId="0" fontId="2" fillId="5" borderId="0" xfId="0" applyFont="1" applyFill="1" applyAlignment="1">
      <alignment horizontal="right"/>
    </xf>
    <xf numFmtId="1" fontId="2" fillId="5" borderId="0" xfId="0" quotePrefix="1" applyNumberFormat="1" applyFont="1" applyFill="1"/>
    <xf numFmtId="164" fontId="0" fillId="6" borderId="0" xfId="0" quotePrefix="1" applyNumberFormat="1" applyFill="1"/>
    <xf numFmtId="0" fontId="4" fillId="0" borderId="5" xfId="0" applyFont="1" applyBorder="1"/>
    <xf numFmtId="0" fontId="6" fillId="3" borderId="28" xfId="0" applyFont="1" applyFill="1" applyBorder="1" applyAlignment="1" applyProtection="1">
      <alignment horizontal="center" vertical="center"/>
      <protection locked="0"/>
    </xf>
    <xf numFmtId="0" fontId="0" fillId="0" borderId="28" xfId="0" applyBorder="1" applyProtection="1">
      <protection locked="0"/>
    </xf>
    <xf numFmtId="0" fontId="7" fillId="0" borderId="0" xfId="0" applyFont="1"/>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10" xfId="0" applyFill="1" applyBorder="1" applyAlignment="1">
      <alignment horizontal="center"/>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0" fillId="0" borderId="19" xfId="0" applyBorder="1" applyAlignment="1">
      <alignment horizontal="center"/>
    </xf>
    <xf numFmtId="0" fontId="0" fillId="0" borderId="10" xfId="0" applyBorder="1" applyAlignment="1">
      <alignment horizontal="center"/>
    </xf>
    <xf numFmtId="0" fontId="0" fillId="0" borderId="13" xfId="0" applyBorder="1" applyAlignment="1">
      <alignment horizontal="center"/>
    </xf>
    <xf numFmtId="0" fontId="0" fillId="0" borderId="0" xfId="0"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8548501109492463E-2"/>
          <c:y val="3.1400553067525899E-2"/>
          <c:w val="0.91945720959895616"/>
          <c:h val="0.93949333901002063"/>
        </c:manualLayout>
      </c:layout>
      <c:scatterChart>
        <c:scatterStyle val="lineMarker"/>
        <c:varyColors val="0"/>
        <c:ser>
          <c:idx val="0"/>
          <c:order val="0"/>
          <c:tx>
            <c:v>Mörser</c:v>
          </c:tx>
          <c:spPr>
            <a:ln w="25400" cap="rnd">
              <a:noFill/>
              <a:round/>
            </a:ln>
            <a:effectLst/>
          </c:spPr>
          <c:marker>
            <c:symbol val="circle"/>
            <c:size val="5"/>
            <c:spPr>
              <a:noFill/>
              <a:ln w="9525">
                <a:solidFill>
                  <a:srgbClr val="FF0000"/>
                </a:solidFill>
              </a:ln>
              <a:effectLst/>
            </c:spPr>
          </c:marker>
          <c:xVal>
            <c:numRef>
              <c:f>Koordinaten!$E$5</c:f>
              <c:numCache>
                <c:formatCode>General</c:formatCode>
                <c:ptCount val="1"/>
                <c:pt idx="0">
                  <c:v>707</c:v>
                </c:pt>
              </c:numCache>
            </c:numRef>
          </c:xVal>
          <c:yVal>
            <c:numRef>
              <c:f>Koordinaten!$E$6</c:f>
              <c:numCache>
                <c:formatCode>General</c:formatCode>
                <c:ptCount val="1"/>
                <c:pt idx="0">
                  <c:v>428</c:v>
                </c:pt>
              </c:numCache>
            </c:numRef>
          </c:yVal>
          <c:smooth val="0"/>
          <c:extLst>
            <c:ext xmlns:c16="http://schemas.microsoft.com/office/drawing/2014/chart" uri="{C3380CC4-5D6E-409C-BE32-E72D297353CC}">
              <c16:uniqueId val="{00000000-CB46-4A14-BD48-AC7F8DF118B5}"/>
            </c:ext>
          </c:extLst>
        </c:ser>
        <c:ser>
          <c:idx val="1"/>
          <c:order val="1"/>
          <c:tx>
            <c:v>Einschlag</c:v>
          </c:tx>
          <c:spPr>
            <a:ln w="25400" cap="rnd">
              <a:noFill/>
              <a:round/>
            </a:ln>
            <a:effectLst/>
          </c:spPr>
          <c:marker>
            <c:symbol val="x"/>
            <c:size val="11"/>
            <c:spPr>
              <a:noFill/>
              <a:ln w="15875">
                <a:solidFill>
                  <a:srgbClr val="0070C0"/>
                </a:solidFill>
              </a:ln>
              <a:effectLst/>
            </c:spPr>
          </c:marker>
          <c:dPt>
            <c:idx val="0"/>
            <c:marker>
              <c:symbol val="x"/>
              <c:size val="11"/>
              <c:spPr>
                <a:noFill/>
                <a:ln w="9525">
                  <a:solidFill>
                    <a:schemeClr val="accent2"/>
                  </a:solidFill>
                </a:ln>
                <a:effectLst/>
              </c:spPr>
            </c:marker>
            <c:bubble3D val="0"/>
            <c:spPr>
              <a:ln w="25400" cap="rnd">
                <a:noFill/>
                <a:round/>
              </a:ln>
              <a:effectLst/>
            </c:spPr>
            <c:extLst>
              <c:ext xmlns:c16="http://schemas.microsoft.com/office/drawing/2014/chart" uri="{C3380CC4-5D6E-409C-BE32-E72D297353CC}">
                <c16:uniqueId val="{00000002-CB46-4A14-BD48-AC7F8DF118B5}"/>
              </c:ext>
            </c:extLst>
          </c:dPt>
          <c:xVal>
            <c:numRef>
              <c:f>Koordinaten!$D$5</c:f>
              <c:numCache>
                <c:formatCode>General</c:formatCode>
                <c:ptCount val="1"/>
                <c:pt idx="0">
                  <c:v>481</c:v>
                </c:pt>
              </c:numCache>
            </c:numRef>
          </c:xVal>
          <c:yVal>
            <c:numRef>
              <c:f>Koordinaten!$D$6</c:f>
              <c:numCache>
                <c:formatCode>General</c:formatCode>
                <c:ptCount val="1"/>
                <c:pt idx="0">
                  <c:v>473</c:v>
                </c:pt>
              </c:numCache>
            </c:numRef>
          </c:yVal>
          <c:smooth val="0"/>
          <c:extLst>
            <c:ext xmlns:c16="http://schemas.microsoft.com/office/drawing/2014/chart" uri="{C3380CC4-5D6E-409C-BE32-E72D297353CC}">
              <c16:uniqueId val="{00000003-CB46-4A14-BD48-AC7F8DF118B5}"/>
            </c:ext>
          </c:extLst>
        </c:ser>
        <c:ser>
          <c:idx val="2"/>
          <c:order val="2"/>
          <c:tx>
            <c:v>Folge</c:v>
          </c:tx>
          <c:spPr>
            <a:ln w="12700" cap="rnd">
              <a:solidFill>
                <a:srgbClr val="FF0000"/>
              </a:solidFill>
              <a:round/>
            </a:ln>
            <a:effectLst/>
          </c:spPr>
          <c:marker>
            <c:symbol val="circle"/>
            <c:size val="5"/>
            <c:spPr>
              <a:noFill/>
              <a:ln w="9525">
                <a:noFill/>
              </a:ln>
              <a:effectLst/>
            </c:spPr>
          </c:marker>
          <c:xVal>
            <c:numRef>
              <c:f>Tabelle1!$AS$35:$BB$35</c:f>
              <c:numCache>
                <c:formatCode>General</c:formatCode>
                <c:ptCount val="10"/>
                <c:pt idx="0">
                  <c:v>707</c:v>
                </c:pt>
                <c:pt idx="1">
                  <c:v>707</c:v>
                </c:pt>
                <c:pt idx="2">
                  <c:v>707</c:v>
                </c:pt>
                <c:pt idx="3">
                  <c:v>707</c:v>
                </c:pt>
                <c:pt idx="4">
                  <c:v>707</c:v>
                </c:pt>
                <c:pt idx="5">
                  <c:v>707</c:v>
                </c:pt>
                <c:pt idx="6">
                  <c:v>707</c:v>
                </c:pt>
                <c:pt idx="7">
                  <c:v>707</c:v>
                </c:pt>
                <c:pt idx="8">
                  <c:v>707</c:v>
                </c:pt>
                <c:pt idx="9">
                  <c:v>707</c:v>
                </c:pt>
              </c:numCache>
            </c:numRef>
          </c:xVal>
          <c:yVal>
            <c:numRef>
              <c:f>Tabelle1!$AS$36:$BB$36</c:f>
              <c:numCache>
                <c:formatCode>General</c:formatCode>
                <c:ptCount val="10"/>
                <c:pt idx="0">
                  <c:v>428</c:v>
                </c:pt>
                <c:pt idx="1">
                  <c:v>430</c:v>
                </c:pt>
                <c:pt idx="2">
                  <c:v>432</c:v>
                </c:pt>
                <c:pt idx="3">
                  <c:v>434</c:v>
                </c:pt>
                <c:pt idx="4">
                  <c:v>436</c:v>
                </c:pt>
                <c:pt idx="5">
                  <c:v>438</c:v>
                </c:pt>
                <c:pt idx="6">
                  <c:v>440</c:v>
                </c:pt>
                <c:pt idx="7">
                  <c:v>442</c:v>
                </c:pt>
                <c:pt idx="8">
                  <c:v>444</c:v>
                </c:pt>
                <c:pt idx="9">
                  <c:v>446</c:v>
                </c:pt>
              </c:numCache>
            </c:numRef>
          </c:yVal>
          <c:smooth val="0"/>
          <c:extLst>
            <c:ext xmlns:c16="http://schemas.microsoft.com/office/drawing/2014/chart" uri="{C3380CC4-5D6E-409C-BE32-E72D297353CC}">
              <c16:uniqueId val="{00000004-CB46-4A14-BD48-AC7F8DF118B5}"/>
            </c:ext>
          </c:extLst>
        </c:ser>
        <c:ser>
          <c:idx val="3"/>
          <c:order val="3"/>
          <c:tx>
            <c:v>Folge Streuung</c:v>
          </c:tx>
          <c:spPr>
            <a:ln w="66675" cap="rnd">
              <a:solidFill>
                <a:srgbClr val="FF0000">
                  <a:alpha val="30000"/>
                </a:srgbClr>
              </a:solidFill>
              <a:round/>
            </a:ln>
            <a:effectLst/>
          </c:spPr>
          <c:marker>
            <c:symbol val="none"/>
          </c:marker>
          <c:xVal>
            <c:numRef>
              <c:f>Tabelle1!$AS$35:$BB$35</c:f>
              <c:numCache>
                <c:formatCode>General</c:formatCode>
                <c:ptCount val="10"/>
                <c:pt idx="0">
                  <c:v>707</c:v>
                </c:pt>
                <c:pt idx="1">
                  <c:v>707</c:v>
                </c:pt>
                <c:pt idx="2">
                  <c:v>707</c:v>
                </c:pt>
                <c:pt idx="3">
                  <c:v>707</c:v>
                </c:pt>
                <c:pt idx="4">
                  <c:v>707</c:v>
                </c:pt>
                <c:pt idx="5">
                  <c:v>707</c:v>
                </c:pt>
                <c:pt idx="6">
                  <c:v>707</c:v>
                </c:pt>
                <c:pt idx="7">
                  <c:v>707</c:v>
                </c:pt>
                <c:pt idx="8">
                  <c:v>707</c:v>
                </c:pt>
                <c:pt idx="9">
                  <c:v>707</c:v>
                </c:pt>
              </c:numCache>
            </c:numRef>
          </c:xVal>
          <c:yVal>
            <c:numRef>
              <c:f>Tabelle1!$AS$36:$BB$36</c:f>
              <c:numCache>
                <c:formatCode>General</c:formatCode>
                <c:ptCount val="10"/>
                <c:pt idx="0">
                  <c:v>428</c:v>
                </c:pt>
                <c:pt idx="1">
                  <c:v>430</c:v>
                </c:pt>
                <c:pt idx="2">
                  <c:v>432</c:v>
                </c:pt>
                <c:pt idx="3">
                  <c:v>434</c:v>
                </c:pt>
                <c:pt idx="4">
                  <c:v>436</c:v>
                </c:pt>
                <c:pt idx="5">
                  <c:v>438</c:v>
                </c:pt>
                <c:pt idx="6">
                  <c:v>440</c:v>
                </c:pt>
                <c:pt idx="7">
                  <c:v>442</c:v>
                </c:pt>
                <c:pt idx="8">
                  <c:v>444</c:v>
                </c:pt>
                <c:pt idx="9">
                  <c:v>446</c:v>
                </c:pt>
              </c:numCache>
            </c:numRef>
          </c:yVal>
          <c:smooth val="0"/>
          <c:extLst>
            <c:ext xmlns:c16="http://schemas.microsoft.com/office/drawing/2014/chart" uri="{C3380CC4-5D6E-409C-BE32-E72D297353CC}">
              <c16:uniqueId val="{00000005-CB46-4A14-BD48-AC7F8DF118B5}"/>
            </c:ext>
          </c:extLst>
        </c:ser>
        <c:ser>
          <c:idx val="5"/>
          <c:order val="4"/>
          <c:tx>
            <c:strRef>
              <c:f>Tabelle1!$AT$39</c:f>
              <c:strCache>
                <c:ptCount val="1"/>
                <c:pt idx="0">
                  <c:v>2900</c:v>
                </c:pt>
              </c:strCache>
            </c:strRef>
          </c:tx>
          <c:spPr>
            <a:ln w="25400" cap="rnd">
              <a:solidFill>
                <a:schemeClr val="accent4">
                  <a:lumMod val="75000"/>
                </a:schemeClr>
              </a:solidFill>
              <a:prstDash val="dash"/>
              <a:round/>
            </a:ln>
            <a:effectLst/>
          </c:spPr>
          <c:marker>
            <c:symbol val="none"/>
          </c:marker>
          <c:xVal>
            <c:numRef>
              <c:f>Tabelle1!$BE$41:$BE$400</c:f>
              <c:numCache>
                <c:formatCode>General</c:formatCode>
                <c:ptCount val="360"/>
                <c:pt idx="0">
                  <c:v>770.9558315953534</c:v>
                </c:pt>
                <c:pt idx="1">
                  <c:v>770.82333983553781</c:v>
                </c:pt>
                <c:pt idx="2">
                  <c:v>770.60256507882639</c:v>
                </c:pt>
                <c:pt idx="3">
                  <c:v>770.293574575349</c:v>
                </c:pt>
                <c:pt idx="4">
                  <c:v>769.89646244660617</c:v>
                </c:pt>
                <c:pt idx="5">
                  <c:v>769.4113496567993</c:v>
                </c:pt>
                <c:pt idx="6">
                  <c:v>768.83838397598333</c:v>
                </c:pt>
                <c:pt idx="7">
                  <c:v>768.17773993505534</c:v>
                </c:pt>
                <c:pt idx="8">
                  <c:v>767.42961877258995</c:v>
                </c:pt>
                <c:pt idx="9">
                  <c:v>766.59424837354027</c:v>
                </c:pt>
                <c:pt idx="10">
                  <c:v>765.67188319982256</c:v>
                </c:pt>
                <c:pt idx="11">
                  <c:v>764.66280421280362</c:v>
                </c:pt>
                <c:pt idx="12">
                  <c:v>763.56731878771825</c:v>
                </c:pt>
                <c:pt idx="13">
                  <c:v>762.38576062003904</c:v>
                </c:pt>
                <c:pt idx="14">
                  <c:v>761.11848962382987</c:v>
                </c:pt>
                <c:pt idx="15">
                  <c:v>759.76589182211251</c:v>
                </c:pt>
                <c:pt idx="16">
                  <c:v>758.32837922928024</c:v>
                </c:pt>
                <c:pt idx="17">
                  <c:v>756.8063897255945</c:v>
                </c:pt>
                <c:pt idx="18">
                  <c:v>755.20038692380194</c:v>
                </c:pt>
                <c:pt idx="19">
                  <c:v>753.5108600279134</c:v>
                </c:pt>
                <c:pt idx="20">
                  <c:v>751.73832368418857</c:v>
                </c:pt>
                <c:pt idx="21">
                  <c:v>749.88331782436831</c:v>
                </c:pt>
                <c:pt idx="22">
                  <c:v>747.94640750120766</c:v>
                </c:pt>
                <c:pt idx="23">
                  <c:v>745.92818271635429</c:v>
                </c:pt>
                <c:pt idx="24">
                  <c:v>743.82925824062841</c:v>
                </c:pt>
                <c:pt idx="25">
                  <c:v>741.65027342675842</c:v>
                </c:pt>
                <c:pt idx="26">
                  <c:v>739.39189201462671</c:v>
                </c:pt>
                <c:pt idx="27">
                  <c:v>737.05480192908885</c:v>
                </c:pt>
                <c:pt idx="28">
                  <c:v>734.6397150704247</c:v>
                </c:pt>
                <c:pt idx="29">
                  <c:v>732.14736709748718</c:v>
                </c:pt>
                <c:pt idx="30">
                  <c:v>729.57851720361259</c:v>
                </c:pt>
                <c:pt idx="31">
                  <c:v>726.93394788536352</c:v>
                </c:pt>
                <c:pt idx="32">
                  <c:v>724.214464704173</c:v>
                </c:pt>
                <c:pt idx="33">
                  <c:v>721.42089604096213</c:v>
                </c:pt>
                <c:pt idx="34">
                  <c:v>718.55409284380767</c:v>
                </c:pt>
                <c:pt idx="35">
                  <c:v>715.61492836873481</c:v>
                </c:pt>
                <c:pt idx="36">
                  <c:v>712.60429791371496</c:v>
                </c:pt>
                <c:pt idx="37">
                  <c:v>709.52311854594939</c:v>
                </c:pt>
                <c:pt idx="38">
                  <c:v>706.37232882252158</c:v>
                </c:pt>
                <c:pt idx="39">
                  <c:v>703.15288850450361</c:v>
                </c:pt>
                <c:pt idx="40">
                  <c:v>699.86577826460393</c:v>
                </c:pt>
                <c:pt idx="41">
                  <c:v>696.51199938844434</c:v>
                </c:pt>
                <c:pt idx="42">
                  <c:v>693.0925734695594</c:v>
                </c:pt>
                <c:pt idx="43">
                  <c:v>689.60854209820889</c:v>
                </c:pt>
                <c:pt idx="44">
                  <c:v>686.06096654409885</c:v>
                </c:pt>
                <c:pt idx="45">
                  <c:v>682.4509274331092</c:v>
                </c:pt>
                <c:pt idx="46">
                  <c:v>678.77952441812454</c:v>
                </c:pt>
                <c:pt idx="47">
                  <c:v>675.04787584406893</c:v>
                </c:pt>
                <c:pt idx="48">
                  <c:v>671.25711840724716</c:v>
                </c:pt>
                <c:pt idx="49">
                  <c:v>667.40840680909639</c:v>
                </c:pt>
                <c:pt idx="50">
                  <c:v>663.5029134044529</c:v>
                </c:pt>
                <c:pt idx="51">
                  <c:v>659.54182784444095</c:v>
                </c:pt>
                <c:pt idx="52">
                  <c:v>655.52635671409405</c:v>
                </c:pt>
                <c:pt idx="53">
                  <c:v>651.45772316481725</c:v>
                </c:pt>
                <c:pt idx="54">
                  <c:v>647.33716654180341</c:v>
                </c:pt>
                <c:pt idx="55">
                  <c:v>643.16594200651662</c:v>
                </c:pt>
                <c:pt idx="56">
                  <c:v>638.94532015435789</c:v>
                </c:pt>
                <c:pt idx="57">
                  <c:v>634.67658662762938</c:v>
                </c:pt>
                <c:pt idx="58">
                  <c:v>630.36104172391572</c:v>
                </c:pt>
                <c:pt idx="59">
                  <c:v>626</c:v>
                </c:pt>
                <c:pt idx="60">
                  <c:v>621.5947898714378</c:v>
                </c:pt>
                <c:pt idx="61">
                  <c:v>617.14675320790832</c:v>
                </c:pt>
                <c:pt idx="62">
                  <c:v>612.65724492446861</c:v>
                </c:pt>
                <c:pt idx="63">
                  <c:v>608.1276325688325</c:v>
                </c:pt>
                <c:pt idx="64">
                  <c:v>603.55929590480287</c:v>
                </c:pt>
                <c:pt idx="65">
                  <c:v>598.95362649198205</c:v>
                </c:pt>
                <c:pt idx="66">
                  <c:v>594.3120272618894</c:v>
                </c:pt>
                <c:pt idx="67">
                  <c:v>589.63591209061451</c:v>
                </c:pt>
                <c:pt idx="68">
                  <c:v>584.92670536813716</c:v>
                </c:pt>
                <c:pt idx="69">
                  <c:v>580.18584156444399</c:v>
                </c:pt>
                <c:pt idx="70">
                  <c:v>575.4147647925754</c:v>
                </c:pt>
                <c:pt idx="71">
                  <c:v>570.61492836873481</c:v>
                </c:pt>
                <c:pt idx="72">
                  <c:v>565.78779436959371</c:v>
                </c:pt>
                <c:pt idx="73">
                  <c:v>560.93483318692972</c:v>
                </c:pt>
                <c:pt idx="74">
                  <c:v>556.05752307973103</c:v>
                </c:pt>
                <c:pt idx="75">
                  <c:v>551.15734972390362</c:v>
                </c:pt>
                <c:pt idx="76">
                  <c:v>546.23580575972085</c:v>
                </c:pt>
                <c:pt idx="77">
                  <c:v>541.29439033715028</c:v>
                </c:pt>
                <c:pt idx="78">
                  <c:v>536.33460865919801</c:v>
                </c:pt>
                <c:pt idx="79">
                  <c:v>531.35797152340979</c:v>
                </c:pt>
                <c:pt idx="80">
                  <c:v>526.36599486166699</c:v>
                </c:pt>
                <c:pt idx="81">
                  <c:v>521.36019927841903</c:v>
                </c:pt>
                <c:pt idx="82">
                  <c:v>516.34210958749281</c:v>
                </c:pt>
                <c:pt idx="83">
                  <c:v>511.31325434761948</c:v>
                </c:pt>
                <c:pt idx="84">
                  <c:v>506.27516539682085</c:v>
                </c:pt>
                <c:pt idx="85">
                  <c:v>501.22937738579634</c:v>
                </c:pt>
                <c:pt idx="86">
                  <c:v>496.17742731045377</c:v>
                </c:pt>
                <c:pt idx="87">
                  <c:v>491.12085404372533</c:v>
                </c:pt>
                <c:pt idx="88">
                  <c:v>486.06119786681222</c:v>
                </c:pt>
                <c:pt idx="89">
                  <c:v>481</c:v>
                </c:pt>
                <c:pt idx="90">
                  <c:v>475.93880213318778</c:v>
                </c:pt>
                <c:pt idx="91">
                  <c:v>470.87914595627473</c:v>
                </c:pt>
                <c:pt idx="92">
                  <c:v>465.82257268954629</c:v>
                </c:pt>
                <c:pt idx="93">
                  <c:v>460.77062261420366</c:v>
                </c:pt>
                <c:pt idx="94">
                  <c:v>455.72483460317909</c:v>
                </c:pt>
                <c:pt idx="95">
                  <c:v>450.68674565238047</c:v>
                </c:pt>
                <c:pt idx="96">
                  <c:v>445.65789041250724</c:v>
                </c:pt>
                <c:pt idx="97">
                  <c:v>440.63980072158103</c:v>
                </c:pt>
                <c:pt idx="98">
                  <c:v>435.63400513833307</c:v>
                </c:pt>
                <c:pt idx="99">
                  <c:v>430.64202847659021</c:v>
                </c:pt>
                <c:pt idx="100">
                  <c:v>425.66539134080199</c:v>
                </c:pt>
                <c:pt idx="101">
                  <c:v>420.70560966284978</c:v>
                </c:pt>
                <c:pt idx="102">
                  <c:v>415.76419424027915</c:v>
                </c:pt>
                <c:pt idx="103">
                  <c:v>410.84265027609632</c:v>
                </c:pt>
                <c:pt idx="104">
                  <c:v>405.94247692026897</c:v>
                </c:pt>
                <c:pt idx="105">
                  <c:v>401.06516681307028</c:v>
                </c:pt>
                <c:pt idx="106">
                  <c:v>396.2122056304064</c:v>
                </c:pt>
                <c:pt idx="107">
                  <c:v>391.3850716312653</c:v>
                </c:pt>
                <c:pt idx="108">
                  <c:v>386.5852352074246</c:v>
                </c:pt>
                <c:pt idx="109">
                  <c:v>381.81415843555607</c:v>
                </c:pt>
                <c:pt idx="110">
                  <c:v>377.07329463186295</c:v>
                </c:pt>
                <c:pt idx="111">
                  <c:v>372.36408790938549</c:v>
                </c:pt>
                <c:pt idx="112">
                  <c:v>367.6879727381106</c:v>
                </c:pt>
                <c:pt idx="113">
                  <c:v>363.04637350801795</c:v>
                </c:pt>
                <c:pt idx="114">
                  <c:v>358.44070409519719</c:v>
                </c:pt>
                <c:pt idx="115">
                  <c:v>353.8723674311675</c:v>
                </c:pt>
                <c:pt idx="116">
                  <c:v>349.3427550755315</c:v>
                </c:pt>
                <c:pt idx="117">
                  <c:v>344.85324679209162</c:v>
                </c:pt>
                <c:pt idx="118">
                  <c:v>340.40521012856226</c:v>
                </c:pt>
                <c:pt idx="119">
                  <c:v>336.00000000000006</c:v>
                </c:pt>
                <c:pt idx="120">
                  <c:v>331.63895827608428</c:v>
                </c:pt>
                <c:pt idx="121">
                  <c:v>327.32341337237062</c:v>
                </c:pt>
                <c:pt idx="122">
                  <c:v>323.05467984564211</c:v>
                </c:pt>
                <c:pt idx="123">
                  <c:v>318.8340579934835</c:v>
                </c:pt>
                <c:pt idx="124">
                  <c:v>314.66283345819659</c:v>
                </c:pt>
                <c:pt idx="125">
                  <c:v>310.54227683518286</c:v>
                </c:pt>
                <c:pt idx="126">
                  <c:v>306.47364328590595</c:v>
                </c:pt>
                <c:pt idx="127">
                  <c:v>302.45817215555905</c:v>
                </c:pt>
                <c:pt idx="128">
                  <c:v>298.49708659554722</c:v>
                </c:pt>
                <c:pt idx="129">
                  <c:v>294.59159319090361</c:v>
                </c:pt>
                <c:pt idx="130">
                  <c:v>290.74288159275295</c:v>
                </c:pt>
                <c:pt idx="131">
                  <c:v>286.95212415593107</c:v>
                </c:pt>
                <c:pt idx="132">
                  <c:v>283.22047558187546</c:v>
                </c:pt>
                <c:pt idx="133">
                  <c:v>279.5490725668908</c:v>
                </c:pt>
                <c:pt idx="134">
                  <c:v>275.93903345590127</c:v>
                </c:pt>
                <c:pt idx="135">
                  <c:v>272.39145790179111</c:v>
                </c:pt>
                <c:pt idx="136">
                  <c:v>268.9074265304406</c:v>
                </c:pt>
                <c:pt idx="137">
                  <c:v>265.48800061155572</c:v>
                </c:pt>
                <c:pt idx="138">
                  <c:v>262.13422173539612</c:v>
                </c:pt>
                <c:pt idx="139">
                  <c:v>258.84711149549639</c:v>
                </c:pt>
                <c:pt idx="140">
                  <c:v>255.62767117747845</c:v>
                </c:pt>
                <c:pt idx="141">
                  <c:v>252.47688145405064</c:v>
                </c:pt>
                <c:pt idx="142">
                  <c:v>249.39570208628504</c:v>
                </c:pt>
                <c:pt idx="143">
                  <c:v>246.38507163126528</c:v>
                </c:pt>
                <c:pt idx="144">
                  <c:v>243.44590715619233</c:v>
                </c:pt>
                <c:pt idx="145">
                  <c:v>240.57910395903792</c:v>
                </c:pt>
                <c:pt idx="146">
                  <c:v>237.78553529582706</c:v>
                </c:pt>
                <c:pt idx="147">
                  <c:v>235.06605211463648</c:v>
                </c:pt>
                <c:pt idx="148">
                  <c:v>232.42148279638747</c:v>
                </c:pt>
                <c:pt idx="149">
                  <c:v>229.85263290251277</c:v>
                </c:pt>
                <c:pt idx="150">
                  <c:v>227.36028492957524</c:v>
                </c:pt>
                <c:pt idx="151">
                  <c:v>224.94519807091115</c:v>
                </c:pt>
                <c:pt idx="152">
                  <c:v>222.60810798537335</c:v>
                </c:pt>
                <c:pt idx="153">
                  <c:v>220.34972657324158</c:v>
                </c:pt>
                <c:pt idx="154">
                  <c:v>218.17074175937154</c:v>
                </c:pt>
                <c:pt idx="155">
                  <c:v>216.07181728364577</c:v>
                </c:pt>
                <c:pt idx="156">
                  <c:v>214.05359249879228</c:v>
                </c:pt>
                <c:pt idx="157">
                  <c:v>212.11668217563169</c:v>
                </c:pt>
                <c:pt idx="158">
                  <c:v>210.26167631581148</c:v>
                </c:pt>
                <c:pt idx="159">
                  <c:v>208.4891399720866</c:v>
                </c:pt>
                <c:pt idx="160">
                  <c:v>206.79961307619811</c:v>
                </c:pt>
                <c:pt idx="161">
                  <c:v>205.1936102744055</c:v>
                </c:pt>
                <c:pt idx="162">
                  <c:v>203.6716207707197</c:v>
                </c:pt>
                <c:pt idx="163">
                  <c:v>202.23410817788749</c:v>
                </c:pt>
                <c:pt idx="164">
                  <c:v>200.88151037617024</c:v>
                </c:pt>
                <c:pt idx="165">
                  <c:v>199.61423937996102</c:v>
                </c:pt>
                <c:pt idx="166">
                  <c:v>198.43268121228181</c:v>
                </c:pt>
                <c:pt idx="167">
                  <c:v>197.33719578719638</c:v>
                </c:pt>
                <c:pt idx="168">
                  <c:v>196.32811680017744</c:v>
                </c:pt>
                <c:pt idx="169">
                  <c:v>195.40575162645968</c:v>
                </c:pt>
                <c:pt idx="170">
                  <c:v>194.57038122741005</c:v>
                </c:pt>
                <c:pt idx="171">
                  <c:v>193.8222600649446</c:v>
                </c:pt>
                <c:pt idx="172">
                  <c:v>193.16161602401661</c:v>
                </c:pt>
                <c:pt idx="173">
                  <c:v>192.58865034320075</c:v>
                </c:pt>
                <c:pt idx="174">
                  <c:v>192.10353755339378</c:v>
                </c:pt>
                <c:pt idx="175">
                  <c:v>191.706425424651</c:v>
                </c:pt>
                <c:pt idx="176">
                  <c:v>191.39743492117361</c:v>
                </c:pt>
                <c:pt idx="177">
                  <c:v>191.17666016446225</c:v>
                </c:pt>
                <c:pt idx="178">
                  <c:v>191.04416840464654</c:v>
                </c:pt>
                <c:pt idx="179">
                  <c:v>191</c:v>
                </c:pt>
                <c:pt idx="180">
                  <c:v>191.04416840464654</c:v>
                </c:pt>
                <c:pt idx="181">
                  <c:v>191.17666016446225</c:v>
                </c:pt>
                <c:pt idx="182">
                  <c:v>191.39743492117361</c:v>
                </c:pt>
                <c:pt idx="183">
                  <c:v>191.706425424651</c:v>
                </c:pt>
                <c:pt idx="184">
                  <c:v>192.10353755339378</c:v>
                </c:pt>
                <c:pt idx="185">
                  <c:v>192.58865034320075</c:v>
                </c:pt>
                <c:pt idx="186">
                  <c:v>193.16161602401661</c:v>
                </c:pt>
                <c:pt idx="187">
                  <c:v>193.8222600649446</c:v>
                </c:pt>
                <c:pt idx="188">
                  <c:v>194.57038122741005</c:v>
                </c:pt>
                <c:pt idx="189">
                  <c:v>195.40575162645968</c:v>
                </c:pt>
                <c:pt idx="190">
                  <c:v>196.32811680017744</c:v>
                </c:pt>
                <c:pt idx="191">
                  <c:v>197.33719578719638</c:v>
                </c:pt>
                <c:pt idx="192">
                  <c:v>198.43268121228181</c:v>
                </c:pt>
                <c:pt idx="193">
                  <c:v>199.61423937996102</c:v>
                </c:pt>
                <c:pt idx="194">
                  <c:v>200.88151037617018</c:v>
                </c:pt>
                <c:pt idx="195">
                  <c:v>202.23410817788749</c:v>
                </c:pt>
                <c:pt idx="196">
                  <c:v>203.6716207707197</c:v>
                </c:pt>
                <c:pt idx="197">
                  <c:v>205.19361027440544</c:v>
                </c:pt>
                <c:pt idx="198">
                  <c:v>206.79961307619817</c:v>
                </c:pt>
                <c:pt idx="199">
                  <c:v>208.48913997208655</c:v>
                </c:pt>
                <c:pt idx="200">
                  <c:v>210.26167631581148</c:v>
                </c:pt>
                <c:pt idx="201">
                  <c:v>212.11668217563164</c:v>
                </c:pt>
                <c:pt idx="202">
                  <c:v>214.05359249879228</c:v>
                </c:pt>
                <c:pt idx="203">
                  <c:v>216.07181728364577</c:v>
                </c:pt>
                <c:pt idx="204">
                  <c:v>218.17074175937148</c:v>
                </c:pt>
                <c:pt idx="205">
                  <c:v>220.34972657324158</c:v>
                </c:pt>
                <c:pt idx="206">
                  <c:v>222.60810798537329</c:v>
                </c:pt>
                <c:pt idx="207">
                  <c:v>224.9451980709112</c:v>
                </c:pt>
                <c:pt idx="208">
                  <c:v>227.36028492957522</c:v>
                </c:pt>
                <c:pt idx="209">
                  <c:v>229.85263290251279</c:v>
                </c:pt>
                <c:pt idx="210">
                  <c:v>232.42148279638744</c:v>
                </c:pt>
                <c:pt idx="211">
                  <c:v>235.06605211463645</c:v>
                </c:pt>
                <c:pt idx="212">
                  <c:v>237.78553529582703</c:v>
                </c:pt>
                <c:pt idx="213">
                  <c:v>240.57910395903787</c:v>
                </c:pt>
                <c:pt idx="214">
                  <c:v>243.44590715619239</c:v>
                </c:pt>
                <c:pt idx="215">
                  <c:v>246.38507163126522</c:v>
                </c:pt>
                <c:pt idx="216">
                  <c:v>249.39570208628507</c:v>
                </c:pt>
                <c:pt idx="217">
                  <c:v>252.47688145405061</c:v>
                </c:pt>
                <c:pt idx="218">
                  <c:v>255.62767117747848</c:v>
                </c:pt>
                <c:pt idx="219">
                  <c:v>258.84711149549639</c:v>
                </c:pt>
                <c:pt idx="220">
                  <c:v>262.13422173539607</c:v>
                </c:pt>
                <c:pt idx="221">
                  <c:v>265.48800061155566</c:v>
                </c:pt>
                <c:pt idx="222">
                  <c:v>268.90742653044055</c:v>
                </c:pt>
                <c:pt idx="223">
                  <c:v>272.39145790179123</c:v>
                </c:pt>
                <c:pt idx="224">
                  <c:v>275.93903345590115</c:v>
                </c:pt>
                <c:pt idx="225">
                  <c:v>279.5490725668908</c:v>
                </c:pt>
                <c:pt idx="226">
                  <c:v>283.22047558187541</c:v>
                </c:pt>
                <c:pt idx="227">
                  <c:v>286.95212415593113</c:v>
                </c:pt>
                <c:pt idx="228">
                  <c:v>290.74288159275289</c:v>
                </c:pt>
                <c:pt idx="229">
                  <c:v>294.59159319090355</c:v>
                </c:pt>
                <c:pt idx="230">
                  <c:v>298.49708659554699</c:v>
                </c:pt>
                <c:pt idx="231">
                  <c:v>302.45817215555917</c:v>
                </c:pt>
                <c:pt idx="232">
                  <c:v>306.47364328590601</c:v>
                </c:pt>
                <c:pt idx="233">
                  <c:v>310.54227683518275</c:v>
                </c:pt>
                <c:pt idx="234">
                  <c:v>314.66283345819659</c:v>
                </c:pt>
                <c:pt idx="235">
                  <c:v>318.8340579934835</c:v>
                </c:pt>
                <c:pt idx="236">
                  <c:v>323.05467984564217</c:v>
                </c:pt>
                <c:pt idx="237">
                  <c:v>327.32341337237051</c:v>
                </c:pt>
                <c:pt idx="238">
                  <c:v>331.63895827608417</c:v>
                </c:pt>
                <c:pt idx="239">
                  <c:v>335.99999999999989</c:v>
                </c:pt>
                <c:pt idx="240">
                  <c:v>340.40521012856232</c:v>
                </c:pt>
                <c:pt idx="241">
                  <c:v>344.85324679209168</c:v>
                </c:pt>
                <c:pt idx="242">
                  <c:v>349.34275507553139</c:v>
                </c:pt>
                <c:pt idx="243">
                  <c:v>353.87236743116745</c:v>
                </c:pt>
                <c:pt idx="244">
                  <c:v>358.44070409519725</c:v>
                </c:pt>
                <c:pt idx="245">
                  <c:v>363.04637350801795</c:v>
                </c:pt>
                <c:pt idx="246">
                  <c:v>367.6879727381106</c:v>
                </c:pt>
                <c:pt idx="247">
                  <c:v>372.36408790938543</c:v>
                </c:pt>
                <c:pt idx="248">
                  <c:v>377.07329463186278</c:v>
                </c:pt>
                <c:pt idx="249">
                  <c:v>381.81415843555612</c:v>
                </c:pt>
                <c:pt idx="250">
                  <c:v>386.5852352074246</c:v>
                </c:pt>
                <c:pt idx="251">
                  <c:v>391.38507163126519</c:v>
                </c:pt>
                <c:pt idx="252">
                  <c:v>396.21220563040623</c:v>
                </c:pt>
                <c:pt idx="253">
                  <c:v>401.06516681307033</c:v>
                </c:pt>
                <c:pt idx="254">
                  <c:v>405.94247692026903</c:v>
                </c:pt>
                <c:pt idx="255">
                  <c:v>410.84265027609632</c:v>
                </c:pt>
                <c:pt idx="256">
                  <c:v>415.7641942402791</c:v>
                </c:pt>
                <c:pt idx="257">
                  <c:v>420.70560966284967</c:v>
                </c:pt>
                <c:pt idx="258">
                  <c:v>425.66539134080205</c:v>
                </c:pt>
                <c:pt idx="259">
                  <c:v>430.64202847659021</c:v>
                </c:pt>
                <c:pt idx="260">
                  <c:v>435.63400513833301</c:v>
                </c:pt>
                <c:pt idx="261">
                  <c:v>440.63980072158091</c:v>
                </c:pt>
                <c:pt idx="262">
                  <c:v>445.6578904125073</c:v>
                </c:pt>
                <c:pt idx="263">
                  <c:v>450.68674565238052</c:v>
                </c:pt>
                <c:pt idx="264">
                  <c:v>455.72483460317909</c:v>
                </c:pt>
                <c:pt idx="265">
                  <c:v>460.7706226142036</c:v>
                </c:pt>
                <c:pt idx="266">
                  <c:v>465.82257268954618</c:v>
                </c:pt>
                <c:pt idx="267">
                  <c:v>470.87914595627478</c:v>
                </c:pt>
                <c:pt idx="268">
                  <c:v>475.93880213318778</c:v>
                </c:pt>
                <c:pt idx="269">
                  <c:v>480.99999999999994</c:v>
                </c:pt>
                <c:pt idx="270">
                  <c:v>486.06119786681211</c:v>
                </c:pt>
                <c:pt idx="271">
                  <c:v>491.12085404372539</c:v>
                </c:pt>
                <c:pt idx="272">
                  <c:v>496.17742731045377</c:v>
                </c:pt>
                <c:pt idx="273">
                  <c:v>501.22937738579634</c:v>
                </c:pt>
                <c:pt idx="274">
                  <c:v>506.2751653968208</c:v>
                </c:pt>
                <c:pt idx="275">
                  <c:v>511.31325434761936</c:v>
                </c:pt>
                <c:pt idx="276">
                  <c:v>516.34210958749281</c:v>
                </c:pt>
                <c:pt idx="277">
                  <c:v>521.36019927841903</c:v>
                </c:pt>
                <c:pt idx="278">
                  <c:v>526.36599486166688</c:v>
                </c:pt>
                <c:pt idx="279">
                  <c:v>531.35797152340967</c:v>
                </c:pt>
                <c:pt idx="280">
                  <c:v>536.33460865919812</c:v>
                </c:pt>
                <c:pt idx="281">
                  <c:v>541.29439033715028</c:v>
                </c:pt>
                <c:pt idx="282">
                  <c:v>546.23580575972085</c:v>
                </c:pt>
                <c:pt idx="283">
                  <c:v>551.15734972390351</c:v>
                </c:pt>
                <c:pt idx="284">
                  <c:v>556.05752307973091</c:v>
                </c:pt>
                <c:pt idx="285">
                  <c:v>560.93483318692984</c:v>
                </c:pt>
                <c:pt idx="286">
                  <c:v>565.7877943695936</c:v>
                </c:pt>
                <c:pt idx="287">
                  <c:v>570.6149283687347</c:v>
                </c:pt>
                <c:pt idx="288">
                  <c:v>575.41476479257528</c:v>
                </c:pt>
                <c:pt idx="289">
                  <c:v>580.18584156444399</c:v>
                </c:pt>
                <c:pt idx="290">
                  <c:v>584.92670536813716</c:v>
                </c:pt>
                <c:pt idx="291">
                  <c:v>589.63591209061451</c:v>
                </c:pt>
                <c:pt idx="292">
                  <c:v>594.31202726188928</c:v>
                </c:pt>
                <c:pt idx="293">
                  <c:v>598.95362649198194</c:v>
                </c:pt>
                <c:pt idx="294">
                  <c:v>603.55929590480287</c:v>
                </c:pt>
                <c:pt idx="295">
                  <c:v>608.1276325688325</c:v>
                </c:pt>
                <c:pt idx="296">
                  <c:v>612.6572449244685</c:v>
                </c:pt>
                <c:pt idx="297">
                  <c:v>617.1467532079082</c:v>
                </c:pt>
                <c:pt idx="298">
                  <c:v>621.5947898714378</c:v>
                </c:pt>
                <c:pt idx="299">
                  <c:v>626</c:v>
                </c:pt>
                <c:pt idx="300">
                  <c:v>630.36104172391572</c:v>
                </c:pt>
                <c:pt idx="301">
                  <c:v>634.67658662762938</c:v>
                </c:pt>
                <c:pt idx="302">
                  <c:v>638.94532015435766</c:v>
                </c:pt>
                <c:pt idx="303">
                  <c:v>643.16594200651662</c:v>
                </c:pt>
                <c:pt idx="304">
                  <c:v>647.3371665418033</c:v>
                </c:pt>
                <c:pt idx="305">
                  <c:v>651.45772316481714</c:v>
                </c:pt>
                <c:pt idx="306">
                  <c:v>655.52635671409394</c:v>
                </c:pt>
                <c:pt idx="307">
                  <c:v>659.54182784444095</c:v>
                </c:pt>
                <c:pt idx="308">
                  <c:v>663.5029134044529</c:v>
                </c:pt>
                <c:pt idx="309">
                  <c:v>667.40840680909639</c:v>
                </c:pt>
                <c:pt idx="310">
                  <c:v>671.25711840724705</c:v>
                </c:pt>
                <c:pt idx="311">
                  <c:v>675.04787584406881</c:v>
                </c:pt>
                <c:pt idx="312">
                  <c:v>678.77952441812454</c:v>
                </c:pt>
                <c:pt idx="313">
                  <c:v>682.4509274331092</c:v>
                </c:pt>
                <c:pt idx="314">
                  <c:v>686.06096654409873</c:v>
                </c:pt>
                <c:pt idx="315">
                  <c:v>689.60854209820877</c:v>
                </c:pt>
                <c:pt idx="316">
                  <c:v>693.09257346955951</c:v>
                </c:pt>
                <c:pt idx="317">
                  <c:v>696.51199938844434</c:v>
                </c:pt>
                <c:pt idx="318">
                  <c:v>699.86577826460382</c:v>
                </c:pt>
                <c:pt idx="319">
                  <c:v>703.15288850450361</c:v>
                </c:pt>
                <c:pt idx="320">
                  <c:v>706.37232882252147</c:v>
                </c:pt>
                <c:pt idx="321">
                  <c:v>709.52311854594939</c:v>
                </c:pt>
                <c:pt idx="322">
                  <c:v>712.60429791371496</c:v>
                </c:pt>
                <c:pt idx="323">
                  <c:v>715.6149283687347</c:v>
                </c:pt>
                <c:pt idx="324">
                  <c:v>718.55409284380755</c:v>
                </c:pt>
                <c:pt idx="325">
                  <c:v>721.42089604096213</c:v>
                </c:pt>
                <c:pt idx="326">
                  <c:v>724.214464704173</c:v>
                </c:pt>
                <c:pt idx="327">
                  <c:v>726.93394788536352</c:v>
                </c:pt>
                <c:pt idx="328">
                  <c:v>729.57851720361248</c:v>
                </c:pt>
                <c:pt idx="329">
                  <c:v>732.14736709748718</c:v>
                </c:pt>
                <c:pt idx="330">
                  <c:v>734.63971507042481</c:v>
                </c:pt>
                <c:pt idx="331">
                  <c:v>737.05480192908885</c:v>
                </c:pt>
                <c:pt idx="332">
                  <c:v>739.39189201462659</c:v>
                </c:pt>
                <c:pt idx="333">
                  <c:v>741.6502734267583</c:v>
                </c:pt>
                <c:pt idx="334">
                  <c:v>743.82925824062852</c:v>
                </c:pt>
                <c:pt idx="335">
                  <c:v>745.92818271635429</c:v>
                </c:pt>
                <c:pt idx="336">
                  <c:v>747.94640750120766</c:v>
                </c:pt>
                <c:pt idx="337">
                  <c:v>749.88331782436831</c:v>
                </c:pt>
                <c:pt idx="338">
                  <c:v>751.73832368418846</c:v>
                </c:pt>
                <c:pt idx="339">
                  <c:v>753.5108600279134</c:v>
                </c:pt>
                <c:pt idx="340">
                  <c:v>755.20038692380194</c:v>
                </c:pt>
                <c:pt idx="341">
                  <c:v>756.8063897255945</c:v>
                </c:pt>
                <c:pt idx="342">
                  <c:v>758.32837922928024</c:v>
                </c:pt>
                <c:pt idx="343">
                  <c:v>759.76589182211251</c:v>
                </c:pt>
                <c:pt idx="344">
                  <c:v>761.11848962382987</c:v>
                </c:pt>
                <c:pt idx="345">
                  <c:v>762.38576062003904</c:v>
                </c:pt>
                <c:pt idx="346">
                  <c:v>763.56731878771825</c:v>
                </c:pt>
                <c:pt idx="347">
                  <c:v>764.66280421280362</c:v>
                </c:pt>
                <c:pt idx="348">
                  <c:v>765.67188319982256</c:v>
                </c:pt>
                <c:pt idx="349">
                  <c:v>766.59424837354027</c:v>
                </c:pt>
                <c:pt idx="350">
                  <c:v>767.42961877258995</c:v>
                </c:pt>
                <c:pt idx="351">
                  <c:v>768.17773993505534</c:v>
                </c:pt>
                <c:pt idx="352">
                  <c:v>768.83838397598333</c:v>
                </c:pt>
                <c:pt idx="353">
                  <c:v>769.4113496567993</c:v>
                </c:pt>
                <c:pt idx="354">
                  <c:v>769.89646244660617</c:v>
                </c:pt>
                <c:pt idx="355">
                  <c:v>770.293574575349</c:v>
                </c:pt>
                <c:pt idx="356">
                  <c:v>770.60256507882639</c:v>
                </c:pt>
                <c:pt idx="357">
                  <c:v>770.82333983553781</c:v>
                </c:pt>
                <c:pt idx="358">
                  <c:v>770.9558315953534</c:v>
                </c:pt>
                <c:pt idx="359">
                  <c:v>771</c:v>
                </c:pt>
              </c:numCache>
            </c:numRef>
          </c:xVal>
          <c:yVal>
            <c:numRef>
              <c:f>Tabelle1!$BF$41:$BF$400</c:f>
              <c:numCache>
                <c:formatCode>General</c:formatCode>
                <c:ptCount val="360"/>
                <c:pt idx="0">
                  <c:v>478.06119786681222</c:v>
                </c:pt>
                <c:pt idx="1">
                  <c:v>483.12085404372527</c:v>
                </c:pt>
                <c:pt idx="2">
                  <c:v>488.17742731045371</c:v>
                </c:pt>
                <c:pt idx="3">
                  <c:v>493.22937738579634</c:v>
                </c:pt>
                <c:pt idx="4">
                  <c:v>498.27516539682085</c:v>
                </c:pt>
                <c:pt idx="5">
                  <c:v>503.31325434761948</c:v>
                </c:pt>
                <c:pt idx="6">
                  <c:v>508.34210958749276</c:v>
                </c:pt>
                <c:pt idx="7">
                  <c:v>513.36019927841903</c:v>
                </c:pt>
                <c:pt idx="8">
                  <c:v>518.36599486166699</c:v>
                </c:pt>
                <c:pt idx="9">
                  <c:v>523.35797152340979</c:v>
                </c:pt>
                <c:pt idx="10">
                  <c:v>528.33460865919801</c:v>
                </c:pt>
                <c:pt idx="11">
                  <c:v>533.29439033715016</c:v>
                </c:pt>
                <c:pt idx="12">
                  <c:v>538.23580575972085</c:v>
                </c:pt>
                <c:pt idx="13">
                  <c:v>543.15734972390362</c:v>
                </c:pt>
                <c:pt idx="14">
                  <c:v>548.05752307973103</c:v>
                </c:pt>
                <c:pt idx="15">
                  <c:v>552.93483318692972</c:v>
                </c:pt>
                <c:pt idx="16">
                  <c:v>557.78779436959371</c:v>
                </c:pt>
                <c:pt idx="17">
                  <c:v>562.6149283687347</c:v>
                </c:pt>
                <c:pt idx="18">
                  <c:v>567.4147647925754</c:v>
                </c:pt>
                <c:pt idx="19">
                  <c:v>572.18584156444399</c:v>
                </c:pt>
                <c:pt idx="20">
                  <c:v>576.92670536813705</c:v>
                </c:pt>
                <c:pt idx="21">
                  <c:v>581.63591209061451</c:v>
                </c:pt>
                <c:pt idx="22">
                  <c:v>586.3120272618894</c:v>
                </c:pt>
                <c:pt idx="23">
                  <c:v>590.95362649198205</c:v>
                </c:pt>
                <c:pt idx="24">
                  <c:v>595.55929590480287</c:v>
                </c:pt>
                <c:pt idx="25">
                  <c:v>600.1276325688325</c:v>
                </c:pt>
                <c:pt idx="26">
                  <c:v>604.65724492446861</c:v>
                </c:pt>
                <c:pt idx="27">
                  <c:v>609.14675320790832</c:v>
                </c:pt>
                <c:pt idx="28">
                  <c:v>613.5947898714378</c:v>
                </c:pt>
                <c:pt idx="29">
                  <c:v>618</c:v>
                </c:pt>
                <c:pt idx="30">
                  <c:v>622.36104172391572</c:v>
                </c:pt>
                <c:pt idx="31">
                  <c:v>626.67658662762938</c:v>
                </c:pt>
                <c:pt idx="32">
                  <c:v>630.94532015435789</c:v>
                </c:pt>
                <c:pt idx="33">
                  <c:v>635.16594200651662</c:v>
                </c:pt>
                <c:pt idx="34">
                  <c:v>639.3371665418033</c:v>
                </c:pt>
                <c:pt idx="35">
                  <c:v>643.45772316481725</c:v>
                </c:pt>
                <c:pt idx="36">
                  <c:v>647.52635671409394</c:v>
                </c:pt>
                <c:pt idx="37">
                  <c:v>651.54182784444095</c:v>
                </c:pt>
                <c:pt idx="38">
                  <c:v>655.50291340445278</c:v>
                </c:pt>
                <c:pt idx="39">
                  <c:v>659.40840680909639</c:v>
                </c:pt>
                <c:pt idx="40">
                  <c:v>663.25711840724716</c:v>
                </c:pt>
                <c:pt idx="41">
                  <c:v>667.04787584406893</c:v>
                </c:pt>
                <c:pt idx="42">
                  <c:v>670.77952441812454</c:v>
                </c:pt>
                <c:pt idx="43">
                  <c:v>674.4509274331092</c:v>
                </c:pt>
                <c:pt idx="44">
                  <c:v>678.06096654409873</c:v>
                </c:pt>
                <c:pt idx="45">
                  <c:v>681.60854209820877</c:v>
                </c:pt>
                <c:pt idx="46">
                  <c:v>685.0925734695594</c:v>
                </c:pt>
                <c:pt idx="47">
                  <c:v>688.51199938844434</c:v>
                </c:pt>
                <c:pt idx="48">
                  <c:v>691.86577826460393</c:v>
                </c:pt>
                <c:pt idx="49">
                  <c:v>695.15288850450361</c:v>
                </c:pt>
                <c:pt idx="50">
                  <c:v>698.37232882252158</c:v>
                </c:pt>
                <c:pt idx="51">
                  <c:v>701.52311854594939</c:v>
                </c:pt>
                <c:pt idx="52">
                  <c:v>704.60429791371496</c:v>
                </c:pt>
                <c:pt idx="53">
                  <c:v>707.61492836873481</c:v>
                </c:pt>
                <c:pt idx="54">
                  <c:v>710.55409284380767</c:v>
                </c:pt>
                <c:pt idx="55">
                  <c:v>713.42089604096213</c:v>
                </c:pt>
                <c:pt idx="56">
                  <c:v>716.214464704173</c:v>
                </c:pt>
                <c:pt idx="57">
                  <c:v>718.93394788536352</c:v>
                </c:pt>
                <c:pt idx="58">
                  <c:v>721.57851720361259</c:v>
                </c:pt>
                <c:pt idx="59">
                  <c:v>724.14736709748718</c:v>
                </c:pt>
                <c:pt idx="60">
                  <c:v>726.6397150704247</c:v>
                </c:pt>
                <c:pt idx="61">
                  <c:v>729.05480192908885</c:v>
                </c:pt>
                <c:pt idx="62">
                  <c:v>731.39189201462659</c:v>
                </c:pt>
                <c:pt idx="63">
                  <c:v>733.65027342675842</c:v>
                </c:pt>
                <c:pt idx="64">
                  <c:v>735.82925824062841</c:v>
                </c:pt>
                <c:pt idx="65">
                  <c:v>737.92818271635429</c:v>
                </c:pt>
                <c:pt idx="66">
                  <c:v>739.94640750120766</c:v>
                </c:pt>
                <c:pt idx="67">
                  <c:v>741.88331782436831</c:v>
                </c:pt>
                <c:pt idx="68">
                  <c:v>743.73832368418857</c:v>
                </c:pt>
                <c:pt idx="69">
                  <c:v>745.5108600279134</c:v>
                </c:pt>
                <c:pt idx="70">
                  <c:v>747.20038692380183</c:v>
                </c:pt>
                <c:pt idx="71">
                  <c:v>748.8063897255945</c:v>
                </c:pt>
                <c:pt idx="72">
                  <c:v>750.32837922928024</c:v>
                </c:pt>
                <c:pt idx="73">
                  <c:v>751.76589182211251</c:v>
                </c:pt>
                <c:pt idx="74">
                  <c:v>753.11848962382987</c:v>
                </c:pt>
                <c:pt idx="75">
                  <c:v>754.38576062003904</c:v>
                </c:pt>
                <c:pt idx="76">
                  <c:v>755.56731878771825</c:v>
                </c:pt>
                <c:pt idx="77">
                  <c:v>756.66280421280362</c:v>
                </c:pt>
                <c:pt idx="78">
                  <c:v>757.67188319982256</c:v>
                </c:pt>
                <c:pt idx="79">
                  <c:v>758.59424837354027</c:v>
                </c:pt>
                <c:pt idx="80">
                  <c:v>759.42961877258995</c:v>
                </c:pt>
                <c:pt idx="81">
                  <c:v>760.17773993505534</c:v>
                </c:pt>
                <c:pt idx="82">
                  <c:v>760.83838397598333</c:v>
                </c:pt>
                <c:pt idx="83">
                  <c:v>761.4113496567993</c:v>
                </c:pt>
                <c:pt idx="84">
                  <c:v>761.89646244660617</c:v>
                </c:pt>
                <c:pt idx="85">
                  <c:v>762.293574575349</c:v>
                </c:pt>
                <c:pt idx="86">
                  <c:v>762.60256507882639</c:v>
                </c:pt>
                <c:pt idx="87">
                  <c:v>762.82333983553781</c:v>
                </c:pt>
                <c:pt idx="88">
                  <c:v>762.9558315953534</c:v>
                </c:pt>
                <c:pt idx="89">
                  <c:v>763</c:v>
                </c:pt>
                <c:pt idx="90">
                  <c:v>762.9558315953534</c:v>
                </c:pt>
                <c:pt idx="91">
                  <c:v>762.82333983553781</c:v>
                </c:pt>
                <c:pt idx="92">
                  <c:v>762.60256507882639</c:v>
                </c:pt>
                <c:pt idx="93">
                  <c:v>762.293574575349</c:v>
                </c:pt>
                <c:pt idx="94">
                  <c:v>761.89646244660617</c:v>
                </c:pt>
                <c:pt idx="95">
                  <c:v>761.4113496567993</c:v>
                </c:pt>
                <c:pt idx="96">
                  <c:v>760.83838397598333</c:v>
                </c:pt>
                <c:pt idx="97">
                  <c:v>760.17773993505534</c:v>
                </c:pt>
                <c:pt idx="98">
                  <c:v>759.42961877258995</c:v>
                </c:pt>
                <c:pt idx="99">
                  <c:v>758.59424837354027</c:v>
                </c:pt>
                <c:pt idx="100">
                  <c:v>757.67188319982256</c:v>
                </c:pt>
                <c:pt idx="101">
                  <c:v>756.66280421280362</c:v>
                </c:pt>
                <c:pt idx="102">
                  <c:v>755.56731878771825</c:v>
                </c:pt>
                <c:pt idx="103">
                  <c:v>754.38576062003904</c:v>
                </c:pt>
                <c:pt idx="104">
                  <c:v>753.11848962382987</c:v>
                </c:pt>
                <c:pt idx="105">
                  <c:v>751.76589182211251</c:v>
                </c:pt>
                <c:pt idx="106">
                  <c:v>750.32837922928024</c:v>
                </c:pt>
                <c:pt idx="107">
                  <c:v>748.8063897255945</c:v>
                </c:pt>
                <c:pt idx="108">
                  <c:v>747.20038692380194</c:v>
                </c:pt>
                <c:pt idx="109">
                  <c:v>745.5108600279134</c:v>
                </c:pt>
                <c:pt idx="110">
                  <c:v>743.73832368418857</c:v>
                </c:pt>
                <c:pt idx="111">
                  <c:v>741.88331782436831</c:v>
                </c:pt>
                <c:pt idx="112">
                  <c:v>739.94640750120766</c:v>
                </c:pt>
                <c:pt idx="113">
                  <c:v>737.92818271635429</c:v>
                </c:pt>
                <c:pt idx="114">
                  <c:v>735.82925824062852</c:v>
                </c:pt>
                <c:pt idx="115">
                  <c:v>733.65027342675842</c:v>
                </c:pt>
                <c:pt idx="116">
                  <c:v>731.39189201462671</c:v>
                </c:pt>
                <c:pt idx="117">
                  <c:v>729.05480192908885</c:v>
                </c:pt>
                <c:pt idx="118">
                  <c:v>726.63971507042481</c:v>
                </c:pt>
                <c:pt idx="119">
                  <c:v>724.14736709748718</c:v>
                </c:pt>
                <c:pt idx="120">
                  <c:v>721.57851720361259</c:v>
                </c:pt>
                <c:pt idx="121">
                  <c:v>718.93394788536352</c:v>
                </c:pt>
                <c:pt idx="122">
                  <c:v>716.214464704173</c:v>
                </c:pt>
                <c:pt idx="123">
                  <c:v>713.42089604096213</c:v>
                </c:pt>
                <c:pt idx="124">
                  <c:v>710.55409284380755</c:v>
                </c:pt>
                <c:pt idx="125">
                  <c:v>707.61492836873481</c:v>
                </c:pt>
                <c:pt idx="126">
                  <c:v>704.60429791371484</c:v>
                </c:pt>
                <c:pt idx="127">
                  <c:v>701.52311854594939</c:v>
                </c:pt>
                <c:pt idx="128">
                  <c:v>698.37232882252158</c:v>
                </c:pt>
                <c:pt idx="129">
                  <c:v>695.15288850450361</c:v>
                </c:pt>
                <c:pt idx="130">
                  <c:v>691.86577826460393</c:v>
                </c:pt>
                <c:pt idx="131">
                  <c:v>688.51199938844434</c:v>
                </c:pt>
                <c:pt idx="132">
                  <c:v>685.09257346955951</c:v>
                </c:pt>
                <c:pt idx="133">
                  <c:v>681.60854209820877</c:v>
                </c:pt>
                <c:pt idx="134">
                  <c:v>678.06096654409885</c:v>
                </c:pt>
                <c:pt idx="135">
                  <c:v>674.4509274331092</c:v>
                </c:pt>
                <c:pt idx="136">
                  <c:v>670.77952441812454</c:v>
                </c:pt>
                <c:pt idx="137">
                  <c:v>667.04787584406893</c:v>
                </c:pt>
                <c:pt idx="138">
                  <c:v>663.25711840724716</c:v>
                </c:pt>
                <c:pt idx="139">
                  <c:v>659.4084068090965</c:v>
                </c:pt>
                <c:pt idx="140">
                  <c:v>655.50291340445278</c:v>
                </c:pt>
                <c:pt idx="141">
                  <c:v>651.54182784444095</c:v>
                </c:pt>
                <c:pt idx="142">
                  <c:v>647.52635671409394</c:v>
                </c:pt>
                <c:pt idx="143">
                  <c:v>643.45772316481725</c:v>
                </c:pt>
                <c:pt idx="144">
                  <c:v>639.3371665418033</c:v>
                </c:pt>
                <c:pt idx="145">
                  <c:v>635.16594200651662</c:v>
                </c:pt>
                <c:pt idx="146">
                  <c:v>630.94532015435789</c:v>
                </c:pt>
                <c:pt idx="147">
                  <c:v>626.67658662762938</c:v>
                </c:pt>
                <c:pt idx="148">
                  <c:v>622.36104172391583</c:v>
                </c:pt>
                <c:pt idx="149">
                  <c:v>618</c:v>
                </c:pt>
                <c:pt idx="150">
                  <c:v>613.5947898714378</c:v>
                </c:pt>
                <c:pt idx="151">
                  <c:v>609.14675320790832</c:v>
                </c:pt>
                <c:pt idx="152">
                  <c:v>604.65724492446861</c:v>
                </c:pt>
                <c:pt idx="153">
                  <c:v>600.12763256883238</c:v>
                </c:pt>
                <c:pt idx="154">
                  <c:v>595.55929590480287</c:v>
                </c:pt>
                <c:pt idx="155">
                  <c:v>590.95362649198216</c:v>
                </c:pt>
                <c:pt idx="156">
                  <c:v>586.3120272618894</c:v>
                </c:pt>
                <c:pt idx="157">
                  <c:v>581.63591209061451</c:v>
                </c:pt>
                <c:pt idx="158">
                  <c:v>576.92670536813705</c:v>
                </c:pt>
                <c:pt idx="159">
                  <c:v>572.18584156444399</c:v>
                </c:pt>
                <c:pt idx="160">
                  <c:v>567.4147647925754</c:v>
                </c:pt>
                <c:pt idx="161">
                  <c:v>562.61492836873481</c:v>
                </c:pt>
                <c:pt idx="162">
                  <c:v>557.7877943695936</c:v>
                </c:pt>
                <c:pt idx="163">
                  <c:v>552.93483318692984</c:v>
                </c:pt>
                <c:pt idx="164">
                  <c:v>548.05752307973114</c:v>
                </c:pt>
                <c:pt idx="165">
                  <c:v>543.15734972390362</c:v>
                </c:pt>
                <c:pt idx="166">
                  <c:v>538.23580575972096</c:v>
                </c:pt>
                <c:pt idx="167">
                  <c:v>533.29439033715016</c:v>
                </c:pt>
                <c:pt idx="168">
                  <c:v>528.33460865919801</c:v>
                </c:pt>
                <c:pt idx="169">
                  <c:v>523.35797152340979</c:v>
                </c:pt>
                <c:pt idx="170">
                  <c:v>518.36599486166699</c:v>
                </c:pt>
                <c:pt idx="171">
                  <c:v>513.36019927841892</c:v>
                </c:pt>
                <c:pt idx="172">
                  <c:v>508.34210958749281</c:v>
                </c:pt>
                <c:pt idx="173">
                  <c:v>503.31325434761959</c:v>
                </c:pt>
                <c:pt idx="174">
                  <c:v>498.27516539682085</c:v>
                </c:pt>
                <c:pt idx="175">
                  <c:v>493.2293773857964</c:v>
                </c:pt>
                <c:pt idx="176">
                  <c:v>488.17742731045371</c:v>
                </c:pt>
                <c:pt idx="177">
                  <c:v>483.12085404372533</c:v>
                </c:pt>
                <c:pt idx="178">
                  <c:v>478.06119786681222</c:v>
                </c:pt>
                <c:pt idx="179">
                  <c:v>473.00000000000006</c:v>
                </c:pt>
                <c:pt idx="180">
                  <c:v>467.93880213318772</c:v>
                </c:pt>
                <c:pt idx="181">
                  <c:v>462.87914595627473</c:v>
                </c:pt>
                <c:pt idx="182">
                  <c:v>457.82257268954635</c:v>
                </c:pt>
                <c:pt idx="183">
                  <c:v>452.77062261420366</c:v>
                </c:pt>
                <c:pt idx="184">
                  <c:v>447.7248346031792</c:v>
                </c:pt>
                <c:pt idx="185">
                  <c:v>442.68674565238047</c:v>
                </c:pt>
                <c:pt idx="186">
                  <c:v>437.6578904125073</c:v>
                </c:pt>
                <c:pt idx="187">
                  <c:v>432.63980072158097</c:v>
                </c:pt>
                <c:pt idx="188">
                  <c:v>427.63400513833307</c:v>
                </c:pt>
                <c:pt idx="189">
                  <c:v>422.64202847659016</c:v>
                </c:pt>
                <c:pt idx="190">
                  <c:v>417.66539134080205</c:v>
                </c:pt>
                <c:pt idx="191">
                  <c:v>412.70560966284972</c:v>
                </c:pt>
                <c:pt idx="192">
                  <c:v>407.76419424027915</c:v>
                </c:pt>
                <c:pt idx="193">
                  <c:v>402.84265027609644</c:v>
                </c:pt>
                <c:pt idx="194">
                  <c:v>397.94247692026897</c:v>
                </c:pt>
                <c:pt idx="195">
                  <c:v>393.06516681307028</c:v>
                </c:pt>
                <c:pt idx="196">
                  <c:v>388.21220563040634</c:v>
                </c:pt>
                <c:pt idx="197">
                  <c:v>383.3850716312653</c:v>
                </c:pt>
                <c:pt idx="198">
                  <c:v>378.58523520742455</c:v>
                </c:pt>
                <c:pt idx="199">
                  <c:v>373.81415843555612</c:v>
                </c:pt>
                <c:pt idx="200">
                  <c:v>369.07329463186289</c:v>
                </c:pt>
                <c:pt idx="201">
                  <c:v>364.36408790938549</c:v>
                </c:pt>
                <c:pt idx="202">
                  <c:v>359.68797273811066</c:v>
                </c:pt>
                <c:pt idx="203">
                  <c:v>355.04637350801795</c:v>
                </c:pt>
                <c:pt idx="204">
                  <c:v>350.44070409519719</c:v>
                </c:pt>
                <c:pt idx="205">
                  <c:v>345.8723674311675</c:v>
                </c:pt>
                <c:pt idx="206">
                  <c:v>341.3427550755315</c:v>
                </c:pt>
                <c:pt idx="207">
                  <c:v>336.85324679209168</c:v>
                </c:pt>
                <c:pt idx="208">
                  <c:v>332.40521012856232</c:v>
                </c:pt>
                <c:pt idx="209">
                  <c:v>328</c:v>
                </c:pt>
                <c:pt idx="210">
                  <c:v>323.63895827608428</c:v>
                </c:pt>
                <c:pt idx="211">
                  <c:v>319.32341337237062</c:v>
                </c:pt>
                <c:pt idx="212">
                  <c:v>315.05467984564211</c:v>
                </c:pt>
                <c:pt idx="213">
                  <c:v>310.8340579934835</c:v>
                </c:pt>
                <c:pt idx="214">
                  <c:v>306.66283345819659</c:v>
                </c:pt>
                <c:pt idx="215">
                  <c:v>302.54227683518286</c:v>
                </c:pt>
                <c:pt idx="216">
                  <c:v>298.47364328590595</c:v>
                </c:pt>
                <c:pt idx="217">
                  <c:v>294.45817215555917</c:v>
                </c:pt>
                <c:pt idx="218">
                  <c:v>290.4970865955471</c:v>
                </c:pt>
                <c:pt idx="219">
                  <c:v>286.59159319090361</c:v>
                </c:pt>
                <c:pt idx="220">
                  <c:v>282.74288159275295</c:v>
                </c:pt>
                <c:pt idx="221">
                  <c:v>278.95212415593107</c:v>
                </c:pt>
                <c:pt idx="222">
                  <c:v>275.22047558187546</c:v>
                </c:pt>
                <c:pt idx="223">
                  <c:v>271.5490725668908</c:v>
                </c:pt>
                <c:pt idx="224">
                  <c:v>267.93903345590127</c:v>
                </c:pt>
                <c:pt idx="225">
                  <c:v>264.39145790179111</c:v>
                </c:pt>
                <c:pt idx="226">
                  <c:v>260.9074265304406</c:v>
                </c:pt>
                <c:pt idx="227">
                  <c:v>257.48800061155566</c:v>
                </c:pt>
                <c:pt idx="228">
                  <c:v>254.13422173539612</c:v>
                </c:pt>
                <c:pt idx="229">
                  <c:v>250.84711149549642</c:v>
                </c:pt>
                <c:pt idx="230">
                  <c:v>247.62767117747853</c:v>
                </c:pt>
                <c:pt idx="231">
                  <c:v>244.47688145405058</c:v>
                </c:pt>
                <c:pt idx="232">
                  <c:v>241.39570208628507</c:v>
                </c:pt>
                <c:pt idx="233">
                  <c:v>238.38507163126528</c:v>
                </c:pt>
                <c:pt idx="234">
                  <c:v>235.44590715619245</c:v>
                </c:pt>
                <c:pt idx="235">
                  <c:v>232.57910395903787</c:v>
                </c:pt>
                <c:pt idx="236">
                  <c:v>229.78553529582703</c:v>
                </c:pt>
                <c:pt idx="237">
                  <c:v>227.06605211463648</c:v>
                </c:pt>
                <c:pt idx="238">
                  <c:v>224.42148279638749</c:v>
                </c:pt>
                <c:pt idx="239">
                  <c:v>221.85263290251288</c:v>
                </c:pt>
                <c:pt idx="240">
                  <c:v>219.36028492957516</c:v>
                </c:pt>
                <c:pt idx="241">
                  <c:v>216.94519807091115</c:v>
                </c:pt>
                <c:pt idx="242">
                  <c:v>214.60810798537335</c:v>
                </c:pt>
                <c:pt idx="243">
                  <c:v>212.34972657324164</c:v>
                </c:pt>
                <c:pt idx="244">
                  <c:v>210.17074175937148</c:v>
                </c:pt>
                <c:pt idx="245">
                  <c:v>208.07181728364571</c:v>
                </c:pt>
                <c:pt idx="246">
                  <c:v>206.05359249879234</c:v>
                </c:pt>
                <c:pt idx="247">
                  <c:v>204.11668217563169</c:v>
                </c:pt>
                <c:pt idx="248">
                  <c:v>202.26167631581154</c:v>
                </c:pt>
                <c:pt idx="249">
                  <c:v>200.48913997208655</c:v>
                </c:pt>
                <c:pt idx="250">
                  <c:v>198.79961307619811</c:v>
                </c:pt>
                <c:pt idx="251">
                  <c:v>197.1936102744055</c:v>
                </c:pt>
                <c:pt idx="252">
                  <c:v>195.67162077071976</c:v>
                </c:pt>
                <c:pt idx="253">
                  <c:v>194.23410817788749</c:v>
                </c:pt>
                <c:pt idx="254">
                  <c:v>192.88151037617018</c:v>
                </c:pt>
                <c:pt idx="255">
                  <c:v>191.61423937996102</c:v>
                </c:pt>
                <c:pt idx="256">
                  <c:v>190.43268121228181</c:v>
                </c:pt>
                <c:pt idx="257">
                  <c:v>189.33719578719638</c:v>
                </c:pt>
                <c:pt idx="258">
                  <c:v>188.32811680017744</c:v>
                </c:pt>
                <c:pt idx="259">
                  <c:v>187.40575162645968</c:v>
                </c:pt>
                <c:pt idx="260">
                  <c:v>186.57038122741005</c:v>
                </c:pt>
                <c:pt idx="261">
                  <c:v>185.8222600649446</c:v>
                </c:pt>
                <c:pt idx="262">
                  <c:v>185.16161602401661</c:v>
                </c:pt>
                <c:pt idx="263">
                  <c:v>184.5886503432007</c:v>
                </c:pt>
                <c:pt idx="264">
                  <c:v>184.10353755339378</c:v>
                </c:pt>
                <c:pt idx="265">
                  <c:v>183.706425424651</c:v>
                </c:pt>
                <c:pt idx="266">
                  <c:v>183.39743492117361</c:v>
                </c:pt>
                <c:pt idx="267">
                  <c:v>183.17666016446225</c:v>
                </c:pt>
                <c:pt idx="268">
                  <c:v>183.04416840464654</c:v>
                </c:pt>
                <c:pt idx="269">
                  <c:v>183</c:v>
                </c:pt>
                <c:pt idx="270">
                  <c:v>183.04416840464654</c:v>
                </c:pt>
                <c:pt idx="271">
                  <c:v>183.17666016446225</c:v>
                </c:pt>
                <c:pt idx="272">
                  <c:v>183.39743492117361</c:v>
                </c:pt>
                <c:pt idx="273">
                  <c:v>183.70642542465094</c:v>
                </c:pt>
                <c:pt idx="274">
                  <c:v>184.10353755339378</c:v>
                </c:pt>
                <c:pt idx="275">
                  <c:v>184.5886503432007</c:v>
                </c:pt>
                <c:pt idx="276">
                  <c:v>185.16161602401661</c:v>
                </c:pt>
                <c:pt idx="277">
                  <c:v>185.8222600649446</c:v>
                </c:pt>
                <c:pt idx="278">
                  <c:v>186.57038122741005</c:v>
                </c:pt>
                <c:pt idx="279">
                  <c:v>187.40575162645962</c:v>
                </c:pt>
                <c:pt idx="280">
                  <c:v>188.3281168001775</c:v>
                </c:pt>
                <c:pt idx="281">
                  <c:v>189.33719578719638</c:v>
                </c:pt>
                <c:pt idx="282">
                  <c:v>190.43268121228181</c:v>
                </c:pt>
                <c:pt idx="283">
                  <c:v>191.61423937996096</c:v>
                </c:pt>
                <c:pt idx="284">
                  <c:v>192.88151037617018</c:v>
                </c:pt>
                <c:pt idx="285">
                  <c:v>194.23410817788755</c:v>
                </c:pt>
                <c:pt idx="286">
                  <c:v>195.6716207707197</c:v>
                </c:pt>
                <c:pt idx="287">
                  <c:v>197.19361027440544</c:v>
                </c:pt>
                <c:pt idx="288">
                  <c:v>198.79961307619806</c:v>
                </c:pt>
                <c:pt idx="289">
                  <c:v>200.4891399720866</c:v>
                </c:pt>
                <c:pt idx="290">
                  <c:v>202.26167631581148</c:v>
                </c:pt>
                <c:pt idx="291">
                  <c:v>204.11668217563164</c:v>
                </c:pt>
                <c:pt idx="292">
                  <c:v>206.05359249879228</c:v>
                </c:pt>
                <c:pt idx="293">
                  <c:v>208.07181728364566</c:v>
                </c:pt>
                <c:pt idx="294">
                  <c:v>210.17074175937154</c:v>
                </c:pt>
                <c:pt idx="295">
                  <c:v>212.34972657324158</c:v>
                </c:pt>
                <c:pt idx="296">
                  <c:v>214.60810798537329</c:v>
                </c:pt>
                <c:pt idx="297">
                  <c:v>216.94519807091115</c:v>
                </c:pt>
                <c:pt idx="298">
                  <c:v>219.36028492957527</c:v>
                </c:pt>
                <c:pt idx="299">
                  <c:v>221.85263290251279</c:v>
                </c:pt>
                <c:pt idx="300">
                  <c:v>224.42148279638744</c:v>
                </c:pt>
                <c:pt idx="301">
                  <c:v>227.06605211463642</c:v>
                </c:pt>
                <c:pt idx="302">
                  <c:v>229.78553529582697</c:v>
                </c:pt>
                <c:pt idx="303">
                  <c:v>232.57910395903792</c:v>
                </c:pt>
                <c:pt idx="304">
                  <c:v>235.44590715619239</c:v>
                </c:pt>
                <c:pt idx="305">
                  <c:v>238.38507163126522</c:v>
                </c:pt>
                <c:pt idx="306">
                  <c:v>241.39570208628501</c:v>
                </c:pt>
                <c:pt idx="307">
                  <c:v>244.47688145405067</c:v>
                </c:pt>
                <c:pt idx="308">
                  <c:v>247.62767117747848</c:v>
                </c:pt>
                <c:pt idx="309">
                  <c:v>250.84711149549634</c:v>
                </c:pt>
                <c:pt idx="310">
                  <c:v>254.13422173539604</c:v>
                </c:pt>
                <c:pt idx="311">
                  <c:v>257.48800061155555</c:v>
                </c:pt>
                <c:pt idx="312">
                  <c:v>260.9074265304406</c:v>
                </c:pt>
                <c:pt idx="313">
                  <c:v>264.39145790179111</c:v>
                </c:pt>
                <c:pt idx="314">
                  <c:v>267.93903345590115</c:v>
                </c:pt>
                <c:pt idx="315">
                  <c:v>271.54907256689069</c:v>
                </c:pt>
                <c:pt idx="316">
                  <c:v>275.22047558187552</c:v>
                </c:pt>
                <c:pt idx="317">
                  <c:v>278.95212415593113</c:v>
                </c:pt>
                <c:pt idx="318">
                  <c:v>282.74288159275284</c:v>
                </c:pt>
                <c:pt idx="319">
                  <c:v>286.5915931909035</c:v>
                </c:pt>
                <c:pt idx="320">
                  <c:v>290.49708659554699</c:v>
                </c:pt>
                <c:pt idx="321">
                  <c:v>294.45817215555917</c:v>
                </c:pt>
                <c:pt idx="322">
                  <c:v>298.47364328590601</c:v>
                </c:pt>
                <c:pt idx="323">
                  <c:v>302.54227683518275</c:v>
                </c:pt>
                <c:pt idx="324">
                  <c:v>306.66283345819653</c:v>
                </c:pt>
                <c:pt idx="325">
                  <c:v>310.8340579934835</c:v>
                </c:pt>
                <c:pt idx="326">
                  <c:v>315.05467984564217</c:v>
                </c:pt>
                <c:pt idx="327">
                  <c:v>319.32341337237051</c:v>
                </c:pt>
                <c:pt idx="328">
                  <c:v>323.63895827608417</c:v>
                </c:pt>
                <c:pt idx="329">
                  <c:v>327.99999999999989</c:v>
                </c:pt>
                <c:pt idx="330">
                  <c:v>332.40521012856232</c:v>
                </c:pt>
                <c:pt idx="331">
                  <c:v>336.85324679209168</c:v>
                </c:pt>
                <c:pt idx="332">
                  <c:v>341.34275507553139</c:v>
                </c:pt>
                <c:pt idx="333">
                  <c:v>345.87236743116745</c:v>
                </c:pt>
                <c:pt idx="334">
                  <c:v>350.44070409519725</c:v>
                </c:pt>
                <c:pt idx="335">
                  <c:v>355.04637350801795</c:v>
                </c:pt>
                <c:pt idx="336">
                  <c:v>359.6879727381106</c:v>
                </c:pt>
                <c:pt idx="337">
                  <c:v>364.36408790938543</c:v>
                </c:pt>
                <c:pt idx="338">
                  <c:v>369.07329463186278</c:v>
                </c:pt>
                <c:pt idx="339">
                  <c:v>373.81415843555612</c:v>
                </c:pt>
                <c:pt idx="340">
                  <c:v>378.58523520742455</c:v>
                </c:pt>
                <c:pt idx="341">
                  <c:v>383.38507163126519</c:v>
                </c:pt>
                <c:pt idx="342">
                  <c:v>388.21220563040623</c:v>
                </c:pt>
                <c:pt idx="343">
                  <c:v>393.06516681307028</c:v>
                </c:pt>
                <c:pt idx="344">
                  <c:v>397.94247692026897</c:v>
                </c:pt>
                <c:pt idx="345">
                  <c:v>402.84265027609632</c:v>
                </c:pt>
                <c:pt idx="346">
                  <c:v>407.76419424027904</c:v>
                </c:pt>
                <c:pt idx="347">
                  <c:v>412.70560966284961</c:v>
                </c:pt>
                <c:pt idx="348">
                  <c:v>417.66539134080205</c:v>
                </c:pt>
                <c:pt idx="349">
                  <c:v>422.64202847659021</c:v>
                </c:pt>
                <c:pt idx="350">
                  <c:v>427.63400513833295</c:v>
                </c:pt>
                <c:pt idx="351">
                  <c:v>432.63980072158091</c:v>
                </c:pt>
                <c:pt idx="352">
                  <c:v>437.6578904125073</c:v>
                </c:pt>
                <c:pt idx="353">
                  <c:v>442.68674565238052</c:v>
                </c:pt>
                <c:pt idx="354">
                  <c:v>447.72483460317909</c:v>
                </c:pt>
                <c:pt idx="355">
                  <c:v>452.77062261420355</c:v>
                </c:pt>
                <c:pt idx="356">
                  <c:v>457.82257268954612</c:v>
                </c:pt>
                <c:pt idx="357">
                  <c:v>462.87914595627478</c:v>
                </c:pt>
                <c:pt idx="358">
                  <c:v>467.93880213318778</c:v>
                </c:pt>
                <c:pt idx="359">
                  <c:v>472.99999999999994</c:v>
                </c:pt>
              </c:numCache>
            </c:numRef>
          </c:yVal>
          <c:smooth val="0"/>
          <c:extLst>
            <c:ext xmlns:c16="http://schemas.microsoft.com/office/drawing/2014/chart" uri="{C3380CC4-5D6E-409C-BE32-E72D297353CC}">
              <c16:uniqueId val="{00000006-CB46-4A14-BD48-AC7F8DF118B5}"/>
            </c:ext>
          </c:extLst>
        </c:ser>
        <c:dLbls>
          <c:showLegendKey val="0"/>
          <c:showVal val="0"/>
          <c:showCatName val="0"/>
          <c:showSerName val="0"/>
          <c:showPercent val="0"/>
          <c:showBubbleSize val="0"/>
        </c:dLbls>
        <c:axId val="1234187839"/>
        <c:axId val="1234187359"/>
      </c:scatterChart>
      <c:valAx>
        <c:axId val="1234187839"/>
        <c:scaling>
          <c:orientation val="minMax"/>
          <c:max val="1360"/>
          <c:min val="0"/>
        </c:scaling>
        <c:delete val="1"/>
        <c:axPos val="b"/>
        <c:majorGridlines>
          <c:spPr>
            <a:ln w="9525" cap="flat" cmpd="sng" algn="ctr">
              <a:solidFill>
                <a:schemeClr val="tx1"/>
              </a:solidFill>
              <a:round/>
            </a:ln>
            <a:effectLst/>
          </c:spPr>
        </c:majorGridlines>
        <c:numFmt formatCode="General" sourceLinked="1"/>
        <c:majorTickMark val="none"/>
        <c:minorTickMark val="none"/>
        <c:tickLblPos val="nextTo"/>
        <c:crossAx val="1234187359"/>
        <c:crosses val="autoZero"/>
        <c:crossBetween val="midCat"/>
        <c:majorUnit val="100"/>
      </c:valAx>
      <c:valAx>
        <c:axId val="1234187359"/>
        <c:scaling>
          <c:orientation val="minMax"/>
          <c:max val="1300"/>
        </c:scaling>
        <c:delete val="1"/>
        <c:axPos val="l"/>
        <c:majorGridlines>
          <c:spPr>
            <a:ln w="9525" cap="flat" cmpd="sng" algn="ctr">
              <a:solidFill>
                <a:schemeClr val="tx1"/>
              </a:solidFill>
              <a:round/>
            </a:ln>
            <a:effectLst/>
          </c:spPr>
        </c:majorGridlines>
        <c:numFmt formatCode="General" sourceLinked="1"/>
        <c:majorTickMark val="none"/>
        <c:minorTickMark val="none"/>
        <c:tickLblPos val="nextTo"/>
        <c:crossAx val="1234187839"/>
        <c:crosses val="autoZero"/>
        <c:crossBetween val="midCat"/>
        <c:majorUnit val="10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de-DE"/>
              <a:t>mil</a:t>
            </a:r>
            <a:r>
              <a:rPr lang="de-DE" baseline="0"/>
              <a:t> vs. Meter</a:t>
            </a:r>
            <a:endParaRPr lang="de-DE"/>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11127537182852143"/>
          <c:y val="0.17171296296296296"/>
          <c:w val="0.83283573928258969"/>
          <c:h val="0.66091401879335177"/>
        </c:manualLayout>
      </c:layout>
      <c:scatterChart>
        <c:scatterStyle val="smoothMarker"/>
        <c:varyColors val="0"/>
        <c:ser>
          <c:idx val="1"/>
          <c:order val="0"/>
          <c:tx>
            <c:strRef>
              <c:f>Tabelle1!$F$4</c:f>
              <c:strCache>
                <c:ptCount val="1"/>
                <c:pt idx="0">
                  <c:v>mil - 0 Ringe</c:v>
                </c:pt>
              </c:strCache>
            </c:strRef>
          </c:tx>
          <c:spPr>
            <a:ln w="19050" cap="rnd">
              <a:solidFill>
                <a:schemeClr val="accent2"/>
              </a:solidFill>
              <a:round/>
            </a:ln>
            <a:effectLst/>
          </c:spPr>
          <c:marker>
            <c:symbol val="none"/>
          </c:marker>
          <c:xVal>
            <c:numRef>
              <c:f>Tabelle1!$E$18:$E$25</c:f>
              <c:numCache>
                <c:formatCode>General</c:formatCode>
                <c:ptCount val="8"/>
                <c:pt idx="0">
                  <c:v>50</c:v>
                </c:pt>
                <c:pt idx="1">
                  <c:v>100</c:v>
                </c:pt>
                <c:pt idx="2">
                  <c:v>150</c:v>
                </c:pt>
                <c:pt idx="3">
                  <c:v>200</c:v>
                </c:pt>
                <c:pt idx="4">
                  <c:v>250</c:v>
                </c:pt>
                <c:pt idx="5">
                  <c:v>300</c:v>
                </c:pt>
                <c:pt idx="6">
                  <c:v>350</c:v>
                </c:pt>
                <c:pt idx="7">
                  <c:v>400</c:v>
                </c:pt>
              </c:numCache>
            </c:numRef>
          </c:xVal>
          <c:yVal>
            <c:numRef>
              <c:f>Tabelle1!$F$18:$F$25</c:f>
              <c:numCache>
                <c:formatCode>General</c:formatCode>
                <c:ptCount val="8"/>
                <c:pt idx="0">
                  <c:v>1540</c:v>
                </c:pt>
                <c:pt idx="1">
                  <c:v>1479</c:v>
                </c:pt>
                <c:pt idx="2">
                  <c:v>1416</c:v>
                </c:pt>
                <c:pt idx="3">
                  <c:v>1350</c:v>
                </c:pt>
                <c:pt idx="4">
                  <c:v>1279</c:v>
                </c:pt>
                <c:pt idx="5">
                  <c:v>1201</c:v>
                </c:pt>
                <c:pt idx="6">
                  <c:v>1106</c:v>
                </c:pt>
                <c:pt idx="7">
                  <c:v>955</c:v>
                </c:pt>
              </c:numCache>
            </c:numRef>
          </c:yVal>
          <c:smooth val="1"/>
          <c:extLst>
            <c:ext xmlns:c16="http://schemas.microsoft.com/office/drawing/2014/chart" uri="{C3380CC4-5D6E-409C-BE32-E72D297353CC}">
              <c16:uniqueId val="{00000000-1DB1-4565-B7E9-4E5300DA75C1}"/>
            </c:ext>
          </c:extLst>
        </c:ser>
        <c:ser>
          <c:idx val="2"/>
          <c:order val="1"/>
          <c:tx>
            <c:strRef>
              <c:f>Tabelle1!$F$5</c:f>
              <c:strCache>
                <c:ptCount val="1"/>
                <c:pt idx="0">
                  <c:v>mil - 1 Ring</c:v>
                </c:pt>
              </c:strCache>
            </c:strRef>
          </c:tx>
          <c:spPr>
            <a:ln w="19050" cap="rnd">
              <a:solidFill>
                <a:schemeClr val="accent3"/>
              </a:solidFill>
              <a:round/>
            </a:ln>
            <a:effectLst/>
          </c:spPr>
          <c:marker>
            <c:symbol val="none"/>
          </c:marker>
          <c:xVal>
            <c:numRef>
              <c:f>Tabelle1!$E$26:$E$34</c:f>
              <c:numCache>
                <c:formatCode>General</c:formatCode>
                <c:ptCount val="9"/>
                <c:pt idx="0">
                  <c:v>100</c:v>
                </c:pt>
                <c:pt idx="1">
                  <c:v>200</c:v>
                </c:pt>
                <c:pt idx="2">
                  <c:v>300</c:v>
                </c:pt>
                <c:pt idx="3">
                  <c:v>400</c:v>
                </c:pt>
                <c:pt idx="4">
                  <c:v>500</c:v>
                </c:pt>
                <c:pt idx="5">
                  <c:v>600</c:v>
                </c:pt>
                <c:pt idx="6">
                  <c:v>700</c:v>
                </c:pt>
                <c:pt idx="7">
                  <c:v>800</c:v>
                </c:pt>
                <c:pt idx="8">
                  <c:v>900</c:v>
                </c:pt>
              </c:numCache>
            </c:numRef>
          </c:xVal>
          <c:yVal>
            <c:numRef>
              <c:f>Tabelle1!$F$26:$F$34</c:f>
              <c:numCache>
                <c:formatCode>General</c:formatCode>
                <c:ptCount val="9"/>
                <c:pt idx="0">
                  <c:v>1547</c:v>
                </c:pt>
                <c:pt idx="1">
                  <c:v>1492</c:v>
                </c:pt>
                <c:pt idx="2">
                  <c:v>1437</c:v>
                </c:pt>
                <c:pt idx="3">
                  <c:v>1378</c:v>
                </c:pt>
                <c:pt idx="4">
                  <c:v>1317</c:v>
                </c:pt>
                <c:pt idx="5">
                  <c:v>1249</c:v>
                </c:pt>
                <c:pt idx="6">
                  <c:v>1174</c:v>
                </c:pt>
                <c:pt idx="7">
                  <c:v>1085</c:v>
                </c:pt>
                <c:pt idx="8">
                  <c:v>954</c:v>
                </c:pt>
              </c:numCache>
            </c:numRef>
          </c:yVal>
          <c:smooth val="1"/>
          <c:extLst>
            <c:ext xmlns:c16="http://schemas.microsoft.com/office/drawing/2014/chart" uri="{C3380CC4-5D6E-409C-BE32-E72D297353CC}">
              <c16:uniqueId val="{00000001-1DB1-4565-B7E9-4E5300DA75C1}"/>
            </c:ext>
          </c:extLst>
        </c:ser>
        <c:ser>
          <c:idx val="3"/>
          <c:order val="2"/>
          <c:tx>
            <c:strRef>
              <c:f>Tabelle1!$F$6</c:f>
              <c:strCache>
                <c:ptCount val="1"/>
                <c:pt idx="0">
                  <c:v>mil - 2 Ringe</c:v>
                </c:pt>
              </c:strCache>
            </c:strRef>
          </c:tx>
          <c:spPr>
            <a:ln w="19050" cap="rnd">
              <a:solidFill>
                <a:schemeClr val="accent4"/>
              </a:solidFill>
              <a:round/>
            </a:ln>
            <a:effectLst/>
          </c:spPr>
          <c:marker>
            <c:symbol val="none"/>
          </c:marker>
          <c:xVal>
            <c:numRef>
              <c:f>Tabelle1!$E$35:$E$49</c:f>
              <c:numCache>
                <c:formatCode>General</c:formatCode>
                <c:ptCount val="15"/>
                <c:pt idx="0">
                  <c:v>200</c:v>
                </c:pt>
                <c:pt idx="1">
                  <c:v>300</c:v>
                </c:pt>
                <c:pt idx="2">
                  <c:v>400</c:v>
                </c:pt>
                <c:pt idx="3">
                  <c:v>500</c:v>
                </c:pt>
                <c:pt idx="4">
                  <c:v>600</c:v>
                </c:pt>
                <c:pt idx="5">
                  <c:v>700</c:v>
                </c:pt>
                <c:pt idx="6">
                  <c:v>800</c:v>
                </c:pt>
                <c:pt idx="7">
                  <c:v>900</c:v>
                </c:pt>
                <c:pt idx="8">
                  <c:v>1000</c:v>
                </c:pt>
                <c:pt idx="9">
                  <c:v>1100</c:v>
                </c:pt>
                <c:pt idx="10">
                  <c:v>1200</c:v>
                </c:pt>
                <c:pt idx="11">
                  <c:v>1300</c:v>
                </c:pt>
                <c:pt idx="12">
                  <c:v>1400</c:v>
                </c:pt>
                <c:pt idx="13">
                  <c:v>1500</c:v>
                </c:pt>
                <c:pt idx="14">
                  <c:v>1600</c:v>
                </c:pt>
              </c:numCache>
            </c:numRef>
          </c:xVal>
          <c:yVal>
            <c:numRef>
              <c:f>Tabelle1!$F$35:$F$49</c:f>
              <c:numCache>
                <c:formatCode>General</c:formatCode>
                <c:ptCount val="15"/>
                <c:pt idx="0">
                  <c:v>1538</c:v>
                </c:pt>
                <c:pt idx="1">
                  <c:v>1507</c:v>
                </c:pt>
                <c:pt idx="2">
                  <c:v>1475</c:v>
                </c:pt>
                <c:pt idx="3">
                  <c:v>1443</c:v>
                </c:pt>
                <c:pt idx="4">
                  <c:v>1410</c:v>
                </c:pt>
                <c:pt idx="5">
                  <c:v>1376</c:v>
                </c:pt>
                <c:pt idx="6">
                  <c:v>1341</c:v>
                </c:pt>
                <c:pt idx="7">
                  <c:v>1305</c:v>
                </c:pt>
                <c:pt idx="8">
                  <c:v>1266</c:v>
                </c:pt>
                <c:pt idx="9">
                  <c:v>1225</c:v>
                </c:pt>
                <c:pt idx="10">
                  <c:v>1180</c:v>
                </c:pt>
                <c:pt idx="11">
                  <c:v>1132</c:v>
                </c:pt>
                <c:pt idx="12">
                  <c:v>1076</c:v>
                </c:pt>
                <c:pt idx="13">
                  <c:v>1009</c:v>
                </c:pt>
                <c:pt idx="14">
                  <c:v>912</c:v>
                </c:pt>
              </c:numCache>
            </c:numRef>
          </c:yVal>
          <c:smooth val="1"/>
          <c:extLst>
            <c:ext xmlns:c16="http://schemas.microsoft.com/office/drawing/2014/chart" uri="{C3380CC4-5D6E-409C-BE32-E72D297353CC}">
              <c16:uniqueId val="{00000002-1DB1-4565-B7E9-4E5300DA75C1}"/>
            </c:ext>
          </c:extLst>
        </c:ser>
        <c:ser>
          <c:idx val="4"/>
          <c:order val="3"/>
          <c:tx>
            <c:strRef>
              <c:f>Tabelle1!$F$7</c:f>
              <c:strCache>
                <c:ptCount val="1"/>
                <c:pt idx="0">
                  <c:v>mil - 3 Ringe</c:v>
                </c:pt>
              </c:strCache>
            </c:strRef>
          </c:tx>
          <c:spPr>
            <a:ln w="19050" cap="rnd">
              <a:solidFill>
                <a:schemeClr val="accent5"/>
              </a:solidFill>
              <a:round/>
            </a:ln>
            <a:effectLst/>
          </c:spPr>
          <c:marker>
            <c:symbol val="none"/>
          </c:marker>
          <c:xVal>
            <c:numRef>
              <c:f>Tabelle1!$E$50:$E$70</c:f>
              <c:numCache>
                <c:formatCode>General</c:formatCode>
                <c:ptCount val="21"/>
                <c:pt idx="0">
                  <c:v>300</c:v>
                </c:pt>
                <c:pt idx="1">
                  <c:v>400</c:v>
                </c:pt>
                <c:pt idx="2">
                  <c:v>500</c:v>
                </c:pt>
                <c:pt idx="3">
                  <c:v>600</c:v>
                </c:pt>
                <c:pt idx="4">
                  <c:v>700</c:v>
                </c:pt>
                <c:pt idx="5">
                  <c:v>800</c:v>
                </c:pt>
                <c:pt idx="6">
                  <c:v>900</c:v>
                </c:pt>
                <c:pt idx="7">
                  <c:v>1000</c:v>
                </c:pt>
                <c:pt idx="8">
                  <c:v>1100</c:v>
                </c:pt>
                <c:pt idx="9">
                  <c:v>1200</c:v>
                </c:pt>
                <c:pt idx="10">
                  <c:v>1300</c:v>
                </c:pt>
                <c:pt idx="11">
                  <c:v>1400</c:v>
                </c:pt>
                <c:pt idx="12">
                  <c:v>1500</c:v>
                </c:pt>
                <c:pt idx="13">
                  <c:v>1600</c:v>
                </c:pt>
                <c:pt idx="14">
                  <c:v>1700</c:v>
                </c:pt>
                <c:pt idx="15">
                  <c:v>1800</c:v>
                </c:pt>
                <c:pt idx="16">
                  <c:v>1900</c:v>
                </c:pt>
                <c:pt idx="17">
                  <c:v>2000</c:v>
                </c:pt>
                <c:pt idx="18">
                  <c:v>2100</c:v>
                </c:pt>
                <c:pt idx="19">
                  <c:v>2200</c:v>
                </c:pt>
                <c:pt idx="20">
                  <c:v>2300</c:v>
                </c:pt>
              </c:numCache>
            </c:numRef>
          </c:xVal>
          <c:yVal>
            <c:numRef>
              <c:f>Tabelle1!$F$50:$F$70</c:f>
              <c:numCache>
                <c:formatCode>General</c:formatCode>
                <c:ptCount val="21"/>
                <c:pt idx="0">
                  <c:v>1534</c:v>
                </c:pt>
                <c:pt idx="1">
                  <c:v>1511</c:v>
                </c:pt>
                <c:pt idx="2">
                  <c:v>1489</c:v>
                </c:pt>
                <c:pt idx="3">
                  <c:v>1466</c:v>
                </c:pt>
                <c:pt idx="4">
                  <c:v>1442</c:v>
                </c:pt>
                <c:pt idx="5">
                  <c:v>1419</c:v>
                </c:pt>
                <c:pt idx="6">
                  <c:v>1395</c:v>
                </c:pt>
                <c:pt idx="7">
                  <c:v>1370</c:v>
                </c:pt>
                <c:pt idx="8">
                  <c:v>1344</c:v>
                </c:pt>
                <c:pt idx="9">
                  <c:v>1318</c:v>
                </c:pt>
                <c:pt idx="10">
                  <c:v>1291</c:v>
                </c:pt>
                <c:pt idx="11">
                  <c:v>1263</c:v>
                </c:pt>
                <c:pt idx="12">
                  <c:v>1233</c:v>
                </c:pt>
                <c:pt idx="13">
                  <c:v>1202</c:v>
                </c:pt>
                <c:pt idx="14">
                  <c:v>1169</c:v>
                </c:pt>
                <c:pt idx="15">
                  <c:v>1133</c:v>
                </c:pt>
                <c:pt idx="16">
                  <c:v>1094</c:v>
                </c:pt>
                <c:pt idx="17">
                  <c:v>1051</c:v>
                </c:pt>
                <c:pt idx="18">
                  <c:v>999</c:v>
                </c:pt>
                <c:pt idx="19">
                  <c:v>931</c:v>
                </c:pt>
                <c:pt idx="20">
                  <c:v>801</c:v>
                </c:pt>
              </c:numCache>
            </c:numRef>
          </c:yVal>
          <c:smooth val="1"/>
          <c:extLst>
            <c:ext xmlns:c16="http://schemas.microsoft.com/office/drawing/2014/chart" uri="{C3380CC4-5D6E-409C-BE32-E72D297353CC}">
              <c16:uniqueId val="{00000003-1DB1-4565-B7E9-4E5300DA75C1}"/>
            </c:ext>
          </c:extLst>
        </c:ser>
        <c:ser>
          <c:idx val="0"/>
          <c:order val="4"/>
          <c:tx>
            <c:strRef>
              <c:f>Tabelle1!$F$8</c:f>
              <c:strCache>
                <c:ptCount val="1"/>
                <c:pt idx="0">
                  <c:v>mil - 4 Ringe</c:v>
                </c:pt>
              </c:strCache>
            </c:strRef>
          </c:tx>
          <c:spPr>
            <a:ln w="19050" cap="rnd">
              <a:solidFill>
                <a:schemeClr val="accent1"/>
              </a:solidFill>
              <a:round/>
            </a:ln>
            <a:effectLst/>
          </c:spPr>
          <c:marker>
            <c:symbol val="none"/>
          </c:marker>
          <c:xVal>
            <c:numRef>
              <c:f>Tabelle1!$E$71:$E$96</c:f>
              <c:numCache>
                <c:formatCode>General</c:formatCode>
                <c:ptCount val="26"/>
                <c:pt idx="0">
                  <c:v>400</c:v>
                </c:pt>
                <c:pt idx="1">
                  <c:v>500</c:v>
                </c:pt>
                <c:pt idx="2">
                  <c:v>600</c:v>
                </c:pt>
                <c:pt idx="3">
                  <c:v>700</c:v>
                </c:pt>
                <c:pt idx="4">
                  <c:v>800</c:v>
                </c:pt>
                <c:pt idx="5">
                  <c:v>900</c:v>
                </c:pt>
                <c:pt idx="6">
                  <c:v>1000</c:v>
                </c:pt>
                <c:pt idx="7">
                  <c:v>1100</c:v>
                </c:pt>
                <c:pt idx="8">
                  <c:v>1200</c:v>
                </c:pt>
                <c:pt idx="9">
                  <c:v>1300</c:v>
                </c:pt>
                <c:pt idx="10">
                  <c:v>1400</c:v>
                </c:pt>
                <c:pt idx="11">
                  <c:v>1500</c:v>
                </c:pt>
                <c:pt idx="12">
                  <c:v>1600</c:v>
                </c:pt>
                <c:pt idx="13">
                  <c:v>1700</c:v>
                </c:pt>
                <c:pt idx="14">
                  <c:v>1800</c:v>
                </c:pt>
                <c:pt idx="15">
                  <c:v>1900</c:v>
                </c:pt>
                <c:pt idx="16">
                  <c:v>2000</c:v>
                </c:pt>
                <c:pt idx="17">
                  <c:v>2100</c:v>
                </c:pt>
                <c:pt idx="18">
                  <c:v>2200</c:v>
                </c:pt>
                <c:pt idx="19">
                  <c:v>2300</c:v>
                </c:pt>
                <c:pt idx="20">
                  <c:v>2400</c:v>
                </c:pt>
                <c:pt idx="21">
                  <c:v>2500</c:v>
                </c:pt>
                <c:pt idx="22">
                  <c:v>2600</c:v>
                </c:pt>
                <c:pt idx="23">
                  <c:v>2700</c:v>
                </c:pt>
                <c:pt idx="24">
                  <c:v>2800</c:v>
                </c:pt>
                <c:pt idx="25">
                  <c:v>2900</c:v>
                </c:pt>
              </c:numCache>
            </c:numRef>
          </c:xVal>
          <c:yVal>
            <c:numRef>
              <c:f>Tabelle1!$F$71:$F$96</c:f>
              <c:numCache>
                <c:formatCode>General</c:formatCode>
                <c:ptCount val="26"/>
                <c:pt idx="0">
                  <c:v>1531</c:v>
                </c:pt>
                <c:pt idx="1">
                  <c:v>1514</c:v>
                </c:pt>
                <c:pt idx="2">
                  <c:v>1496</c:v>
                </c:pt>
                <c:pt idx="3">
                  <c:v>1478</c:v>
                </c:pt>
                <c:pt idx="4">
                  <c:v>1460</c:v>
                </c:pt>
                <c:pt idx="5">
                  <c:v>1442</c:v>
                </c:pt>
                <c:pt idx="6">
                  <c:v>1424</c:v>
                </c:pt>
                <c:pt idx="7">
                  <c:v>1405</c:v>
                </c:pt>
                <c:pt idx="8">
                  <c:v>1385</c:v>
                </c:pt>
                <c:pt idx="9">
                  <c:v>1366</c:v>
                </c:pt>
                <c:pt idx="10">
                  <c:v>1346</c:v>
                </c:pt>
                <c:pt idx="11">
                  <c:v>1326</c:v>
                </c:pt>
                <c:pt idx="12">
                  <c:v>1305</c:v>
                </c:pt>
                <c:pt idx="13">
                  <c:v>1283</c:v>
                </c:pt>
                <c:pt idx="14">
                  <c:v>1261</c:v>
                </c:pt>
                <c:pt idx="15">
                  <c:v>1238</c:v>
                </c:pt>
                <c:pt idx="16">
                  <c:v>1214</c:v>
                </c:pt>
                <c:pt idx="17">
                  <c:v>1188</c:v>
                </c:pt>
                <c:pt idx="18">
                  <c:v>1162</c:v>
                </c:pt>
                <c:pt idx="19">
                  <c:v>1134</c:v>
                </c:pt>
                <c:pt idx="20">
                  <c:v>1104</c:v>
                </c:pt>
                <c:pt idx="21">
                  <c:v>1070</c:v>
                </c:pt>
                <c:pt idx="22">
                  <c:v>1034</c:v>
                </c:pt>
                <c:pt idx="23">
                  <c:v>993</c:v>
                </c:pt>
                <c:pt idx="24">
                  <c:v>942</c:v>
                </c:pt>
                <c:pt idx="25">
                  <c:v>870</c:v>
                </c:pt>
              </c:numCache>
            </c:numRef>
          </c:yVal>
          <c:smooth val="1"/>
          <c:extLst>
            <c:ext xmlns:c16="http://schemas.microsoft.com/office/drawing/2014/chart" uri="{C3380CC4-5D6E-409C-BE32-E72D297353CC}">
              <c16:uniqueId val="{00000004-1DB1-4565-B7E9-4E5300DA75C1}"/>
            </c:ext>
          </c:extLst>
        </c:ser>
        <c:dLbls>
          <c:showLegendKey val="0"/>
          <c:showVal val="0"/>
          <c:showCatName val="0"/>
          <c:showSerName val="0"/>
          <c:showPercent val="0"/>
          <c:showBubbleSize val="0"/>
        </c:dLbls>
        <c:axId val="1094507055"/>
        <c:axId val="1095763647"/>
      </c:scatterChart>
      <c:valAx>
        <c:axId val="1094507055"/>
        <c:scaling>
          <c:orientation val="minMax"/>
          <c:max val="3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de-DE"/>
                  <a:t>Meter</a:t>
                </a:r>
              </a:p>
            </c:rich>
          </c:tx>
          <c:layout>
            <c:manualLayout>
              <c:xMode val="edge"/>
              <c:yMode val="edge"/>
              <c:x val="0.85684601924759407"/>
              <c:y val="0.9296062992125984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crossAx val="1095763647"/>
        <c:crosses val="autoZero"/>
        <c:crossBetween val="midCat"/>
      </c:valAx>
      <c:valAx>
        <c:axId val="1095763647"/>
        <c:scaling>
          <c:orientation val="minMax"/>
          <c:max val="1600"/>
          <c:min val="80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600" b="0" i="0" u="none" strike="noStrike" kern="1200" baseline="0">
                    <a:solidFill>
                      <a:schemeClr val="tx1">
                        <a:lumMod val="65000"/>
                        <a:lumOff val="35000"/>
                      </a:schemeClr>
                    </a:solidFill>
                    <a:latin typeface="+mn-lt"/>
                    <a:ea typeface="+mn-ea"/>
                    <a:cs typeface="+mn-cs"/>
                  </a:defRPr>
                </a:pPr>
                <a:r>
                  <a:rPr lang="de-DE"/>
                  <a:t>mil</a:t>
                </a:r>
              </a:p>
            </c:rich>
          </c:tx>
          <c:layout>
            <c:manualLayout>
              <c:xMode val="edge"/>
              <c:yMode val="edge"/>
              <c:x val="2.5000000000000001E-2"/>
              <c:y val="6.6589384660250772E-2"/>
            </c:manualLayout>
          </c:layout>
          <c:overlay val="0"/>
          <c:spPr>
            <a:noFill/>
            <a:ln>
              <a:noFill/>
            </a:ln>
            <a:effectLst/>
          </c:spPr>
          <c:txPr>
            <a:bodyPr rot="0" spcFirstLastPara="1" vertOverflow="ellipsis"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crossAx val="1094507055"/>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600"/>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0</xdr:colOff>
      <xdr:row>0</xdr:row>
      <xdr:rowOff>0</xdr:rowOff>
    </xdr:from>
    <xdr:to>
      <xdr:col>88</xdr:col>
      <xdr:colOff>6136</xdr:colOff>
      <xdr:row>161</xdr:row>
      <xdr:rowOff>168631</xdr:rowOff>
    </xdr:to>
    <xdr:graphicFrame macro="">
      <xdr:nvGraphicFramePr>
        <xdr:cNvPr id="26" name="Diagramm1">
          <a:extLst>
            <a:ext uri="{FF2B5EF4-FFF2-40B4-BE49-F238E27FC236}">
              <a16:creationId xmlns:a16="http://schemas.microsoft.com/office/drawing/2014/main" id="{64228AE1-AB5D-E990-DFA1-EA0DBF986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268942</xdr:colOff>
      <xdr:row>0</xdr:row>
      <xdr:rowOff>0</xdr:rowOff>
    </xdr:from>
    <xdr:to>
      <xdr:col>22</xdr:col>
      <xdr:colOff>145951</xdr:colOff>
      <xdr:row>32</xdr:row>
      <xdr:rowOff>851</xdr:rowOff>
    </xdr:to>
    <xdr:pic>
      <xdr:nvPicPr>
        <xdr:cNvPr id="26" name="Grafik 25">
          <a:extLst>
            <a:ext uri="{FF2B5EF4-FFF2-40B4-BE49-F238E27FC236}">
              <a16:creationId xmlns:a16="http://schemas.microsoft.com/office/drawing/2014/main" id="{3D63B143-8ADE-E96F-3B41-0A0164C6303B}"/>
            </a:ext>
          </a:extLst>
        </xdr:cNvPr>
        <xdr:cNvPicPr>
          <a:picLocks noChangeAspect="1"/>
        </xdr:cNvPicPr>
      </xdr:nvPicPr>
      <xdr:blipFill>
        <a:blip xmlns:r="http://schemas.openxmlformats.org/officeDocument/2006/relationships" r:embed="rId1"/>
        <a:stretch>
          <a:fillRect/>
        </a:stretch>
      </xdr:blipFill>
      <xdr:spPr>
        <a:xfrm>
          <a:off x="10365442" y="0"/>
          <a:ext cx="5973009" cy="6096851"/>
        </a:xfrm>
        <a:prstGeom prst="rect">
          <a:avLst/>
        </a:prstGeom>
      </xdr:spPr>
    </xdr:pic>
    <xdr:clientData/>
  </xdr:twoCellAnchor>
  <xdr:twoCellAnchor editAs="oneCell">
    <xdr:from>
      <xdr:col>1</xdr:col>
      <xdr:colOff>0</xdr:colOff>
      <xdr:row>1</xdr:row>
      <xdr:rowOff>0</xdr:rowOff>
    </xdr:from>
    <xdr:to>
      <xdr:col>10</xdr:col>
      <xdr:colOff>277221</xdr:colOff>
      <xdr:row>35</xdr:row>
      <xdr:rowOff>39009</xdr:rowOff>
    </xdr:to>
    <xdr:pic>
      <xdr:nvPicPr>
        <xdr:cNvPr id="2" name="Grafik 1">
          <a:extLst>
            <a:ext uri="{FF2B5EF4-FFF2-40B4-BE49-F238E27FC236}">
              <a16:creationId xmlns:a16="http://schemas.microsoft.com/office/drawing/2014/main" id="{4FCD8CB5-C3DB-D626-F9B5-36C27C14FAB1}"/>
            </a:ext>
          </a:extLst>
        </xdr:cNvPr>
        <xdr:cNvPicPr>
          <a:picLocks noChangeAspect="1"/>
        </xdr:cNvPicPr>
      </xdr:nvPicPr>
      <xdr:blipFill>
        <a:blip xmlns:r="http://schemas.openxmlformats.org/officeDocument/2006/relationships" r:embed="rId2"/>
        <a:stretch>
          <a:fillRect/>
        </a:stretch>
      </xdr:blipFill>
      <xdr:spPr>
        <a:xfrm>
          <a:off x="3810000" y="2286000"/>
          <a:ext cx="7135221" cy="6516009"/>
        </a:xfrm>
        <a:prstGeom prst="rect">
          <a:avLst/>
        </a:prstGeom>
      </xdr:spPr>
    </xdr:pic>
    <xdr:clientData/>
  </xdr:twoCellAnchor>
  <xdr:twoCellAnchor>
    <xdr:from>
      <xdr:col>4</xdr:col>
      <xdr:colOff>100853</xdr:colOff>
      <xdr:row>2</xdr:row>
      <xdr:rowOff>156882</xdr:rowOff>
    </xdr:from>
    <xdr:to>
      <xdr:col>8</xdr:col>
      <xdr:colOff>134471</xdr:colOff>
      <xdr:row>6</xdr:row>
      <xdr:rowOff>179294</xdr:rowOff>
    </xdr:to>
    <xdr:sp macro="" textlink="">
      <xdr:nvSpPr>
        <xdr:cNvPr id="3" name="Textfeld 2">
          <a:extLst>
            <a:ext uri="{FF2B5EF4-FFF2-40B4-BE49-F238E27FC236}">
              <a16:creationId xmlns:a16="http://schemas.microsoft.com/office/drawing/2014/main" id="{00875E01-C5A5-D4FC-2562-8F439D676B07}"/>
            </a:ext>
          </a:extLst>
        </xdr:cNvPr>
        <xdr:cNvSpPr txBox="1"/>
      </xdr:nvSpPr>
      <xdr:spPr>
        <a:xfrm>
          <a:off x="6196853" y="2633382"/>
          <a:ext cx="3081618" cy="784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t>Koordinaten eingeben:</a:t>
          </a:r>
        </a:p>
        <a:p>
          <a:r>
            <a:rPr lang="de-DE" sz="1400"/>
            <a:t>Standort: Position des Mörser</a:t>
          </a:r>
        </a:p>
        <a:p>
          <a:r>
            <a:rPr lang="de-DE" sz="1400"/>
            <a:t>Ziel:</a:t>
          </a:r>
          <a:r>
            <a:rPr lang="de-DE" sz="1400" baseline="0"/>
            <a:t> EInschlag der Mörsergranaten</a:t>
          </a:r>
        </a:p>
      </xdr:txBody>
    </xdr:sp>
    <xdr:clientData/>
  </xdr:twoCellAnchor>
  <xdr:twoCellAnchor>
    <xdr:from>
      <xdr:col>4</xdr:col>
      <xdr:colOff>600637</xdr:colOff>
      <xdr:row>26</xdr:row>
      <xdr:rowOff>78440</xdr:rowOff>
    </xdr:from>
    <xdr:to>
      <xdr:col>12</xdr:col>
      <xdr:colOff>201707</xdr:colOff>
      <xdr:row>35</xdr:row>
      <xdr:rowOff>33617</xdr:rowOff>
    </xdr:to>
    <xdr:sp macro="" textlink="">
      <xdr:nvSpPr>
        <xdr:cNvPr id="4" name="Textfeld 3">
          <a:extLst>
            <a:ext uri="{FF2B5EF4-FFF2-40B4-BE49-F238E27FC236}">
              <a16:creationId xmlns:a16="http://schemas.microsoft.com/office/drawing/2014/main" id="{951A8790-FCDE-48E6-87D2-709C132CC9C4}"/>
            </a:ext>
          </a:extLst>
        </xdr:cNvPr>
        <xdr:cNvSpPr txBox="1"/>
      </xdr:nvSpPr>
      <xdr:spPr>
        <a:xfrm>
          <a:off x="6696637" y="7126940"/>
          <a:ext cx="5697070" cy="166967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t>Akivieren</a:t>
          </a:r>
          <a:r>
            <a:rPr lang="de-DE" sz="1400" baseline="0"/>
            <a:t> oder Deaktivieren einer Mörserfolge - ähnlich eines Bombing Run</a:t>
          </a:r>
        </a:p>
        <a:p>
          <a:r>
            <a:rPr lang="de-DE" sz="1400"/>
            <a:t>Auswählen der Himmelsrichtung in der die Mörserfolge berechnet werden soll. Der</a:t>
          </a:r>
          <a:r>
            <a:rPr lang="de-DE" sz="1400" baseline="0"/>
            <a:t> Start der Mörserfolge beginnt bei den oben eingegebenen Zielkoordinaten.</a:t>
          </a:r>
        </a:p>
        <a:p>
          <a:r>
            <a:rPr lang="de-DE" sz="1400" baseline="0"/>
            <a:t>In der Karte wird die Richtung, Sowie Reichweite und die grobe Streuung der Einschläge angezeigt. (Achtung die Streuung wird immer gleich angezeigt, auch wenn diese abhängig von der Anzahl der verwendeten Ringe ist. Es wird die größte Streeung von vier Ringen angenommen.</a:t>
          </a:r>
          <a:endParaRPr lang="de-DE" sz="1400"/>
        </a:p>
      </xdr:txBody>
    </xdr:sp>
    <xdr:clientData/>
  </xdr:twoCellAnchor>
  <xdr:twoCellAnchor>
    <xdr:from>
      <xdr:col>5</xdr:col>
      <xdr:colOff>504264</xdr:colOff>
      <xdr:row>13</xdr:row>
      <xdr:rowOff>89647</xdr:rowOff>
    </xdr:from>
    <xdr:to>
      <xdr:col>9</xdr:col>
      <xdr:colOff>201706</xdr:colOff>
      <xdr:row>21</xdr:row>
      <xdr:rowOff>56030</xdr:rowOff>
    </xdr:to>
    <xdr:sp macro="" textlink="">
      <xdr:nvSpPr>
        <xdr:cNvPr id="5" name="Textfeld 4">
          <a:extLst>
            <a:ext uri="{FF2B5EF4-FFF2-40B4-BE49-F238E27FC236}">
              <a16:creationId xmlns:a16="http://schemas.microsoft.com/office/drawing/2014/main" id="{FC511DB5-C2D4-46AD-A506-6DBF7029B3E6}"/>
            </a:ext>
          </a:extLst>
        </xdr:cNvPr>
        <xdr:cNvSpPr txBox="1"/>
      </xdr:nvSpPr>
      <xdr:spPr>
        <a:xfrm>
          <a:off x="7362264" y="4661647"/>
          <a:ext cx="2745442" cy="14903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800" b="1"/>
            <a:t>Orange hinterlegte</a:t>
          </a:r>
          <a:r>
            <a:rPr lang="de-DE" sz="1800" b="1" baseline="0"/>
            <a:t> Felder müssen gepflegt werden</a:t>
          </a:r>
        </a:p>
        <a:p>
          <a:pPr algn="ctr"/>
          <a:r>
            <a:rPr lang="de-DE" sz="1800" b="1" baseline="0"/>
            <a:t>Die Richtung der Mörserfolge wird durch ein Dropdown ausgewählt.</a:t>
          </a:r>
        </a:p>
      </xdr:txBody>
    </xdr:sp>
    <xdr:clientData/>
  </xdr:twoCellAnchor>
  <xdr:twoCellAnchor>
    <xdr:from>
      <xdr:col>3</xdr:col>
      <xdr:colOff>739588</xdr:colOff>
      <xdr:row>8</xdr:row>
      <xdr:rowOff>11206</xdr:rowOff>
    </xdr:from>
    <xdr:to>
      <xdr:col>5</xdr:col>
      <xdr:colOff>459441</xdr:colOff>
      <xdr:row>15</xdr:row>
      <xdr:rowOff>134471</xdr:rowOff>
    </xdr:to>
    <xdr:cxnSp macro="">
      <xdr:nvCxnSpPr>
        <xdr:cNvPr id="7" name="Gerade Verbindung mit Pfeil 6">
          <a:extLst>
            <a:ext uri="{FF2B5EF4-FFF2-40B4-BE49-F238E27FC236}">
              <a16:creationId xmlns:a16="http://schemas.microsoft.com/office/drawing/2014/main" id="{51E4F61C-C24D-1F7C-06A5-5E23367DAECF}"/>
            </a:ext>
          </a:extLst>
        </xdr:cNvPr>
        <xdr:cNvCxnSpPr/>
      </xdr:nvCxnSpPr>
      <xdr:spPr>
        <a:xfrm flipH="1" flipV="1">
          <a:off x="6073588" y="3630706"/>
          <a:ext cx="1243853" cy="145676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44824</xdr:colOff>
      <xdr:row>13</xdr:row>
      <xdr:rowOff>33618</xdr:rowOff>
    </xdr:from>
    <xdr:to>
      <xdr:col>5</xdr:col>
      <xdr:colOff>425824</xdr:colOff>
      <xdr:row>17</xdr:row>
      <xdr:rowOff>56029</xdr:rowOff>
    </xdr:to>
    <xdr:cxnSp macro="">
      <xdr:nvCxnSpPr>
        <xdr:cNvPr id="9" name="Gerade Verbindung mit Pfeil 8">
          <a:extLst>
            <a:ext uri="{FF2B5EF4-FFF2-40B4-BE49-F238E27FC236}">
              <a16:creationId xmlns:a16="http://schemas.microsoft.com/office/drawing/2014/main" id="{900AC8D5-2130-25FB-F33C-E124B18DB7E3}"/>
            </a:ext>
          </a:extLst>
        </xdr:cNvPr>
        <xdr:cNvCxnSpPr/>
      </xdr:nvCxnSpPr>
      <xdr:spPr>
        <a:xfrm flipH="1" flipV="1">
          <a:off x="6140824" y="4605618"/>
          <a:ext cx="1143000" cy="78441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694765</xdr:colOff>
      <xdr:row>19</xdr:row>
      <xdr:rowOff>56029</xdr:rowOff>
    </xdr:from>
    <xdr:to>
      <xdr:col>5</xdr:col>
      <xdr:colOff>414618</xdr:colOff>
      <xdr:row>27</xdr:row>
      <xdr:rowOff>0</xdr:rowOff>
    </xdr:to>
    <xdr:cxnSp macro="">
      <xdr:nvCxnSpPr>
        <xdr:cNvPr id="11" name="Gerade Verbindung mit Pfeil 10">
          <a:extLst>
            <a:ext uri="{FF2B5EF4-FFF2-40B4-BE49-F238E27FC236}">
              <a16:creationId xmlns:a16="http://schemas.microsoft.com/office/drawing/2014/main" id="{1CBA471D-06E5-5778-A15C-6030EC44B138}"/>
            </a:ext>
          </a:extLst>
        </xdr:cNvPr>
        <xdr:cNvCxnSpPr/>
      </xdr:nvCxnSpPr>
      <xdr:spPr>
        <a:xfrm flipH="1">
          <a:off x="6028765" y="5771029"/>
          <a:ext cx="1243853" cy="146797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11205</xdr:colOff>
      <xdr:row>17</xdr:row>
      <xdr:rowOff>145676</xdr:rowOff>
    </xdr:from>
    <xdr:to>
      <xdr:col>21</xdr:col>
      <xdr:colOff>190499</xdr:colOff>
      <xdr:row>19</xdr:row>
      <xdr:rowOff>100853</xdr:rowOff>
    </xdr:to>
    <xdr:sp macro="" textlink="">
      <xdr:nvSpPr>
        <xdr:cNvPr id="20" name="Textfeld 19">
          <a:extLst>
            <a:ext uri="{FF2B5EF4-FFF2-40B4-BE49-F238E27FC236}">
              <a16:creationId xmlns:a16="http://schemas.microsoft.com/office/drawing/2014/main" id="{3D4C1AA3-9177-42D0-ABF0-6D8AC0A82FA7}"/>
            </a:ext>
          </a:extLst>
        </xdr:cNvPr>
        <xdr:cNvSpPr txBox="1"/>
      </xdr:nvSpPr>
      <xdr:spPr>
        <a:xfrm>
          <a:off x="13917705" y="3384176"/>
          <a:ext cx="1703294"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t>Position des Mörser</a:t>
          </a:r>
          <a:endParaRPr lang="de-DE" sz="1400" baseline="0"/>
        </a:p>
      </xdr:txBody>
    </xdr:sp>
    <xdr:clientData/>
  </xdr:twoCellAnchor>
  <xdr:twoCellAnchor>
    <xdr:from>
      <xdr:col>18</xdr:col>
      <xdr:colOff>336176</xdr:colOff>
      <xdr:row>17</xdr:row>
      <xdr:rowOff>78441</xdr:rowOff>
    </xdr:from>
    <xdr:to>
      <xdr:col>19</xdr:col>
      <xdr:colOff>11205</xdr:colOff>
      <xdr:row>18</xdr:row>
      <xdr:rowOff>123265</xdr:rowOff>
    </xdr:to>
    <xdr:cxnSp macro="">
      <xdr:nvCxnSpPr>
        <xdr:cNvPr id="22" name="Gerade Verbindung mit Pfeil 21">
          <a:extLst>
            <a:ext uri="{FF2B5EF4-FFF2-40B4-BE49-F238E27FC236}">
              <a16:creationId xmlns:a16="http://schemas.microsoft.com/office/drawing/2014/main" id="{79BFEA5A-D2C4-92D7-FD25-2E836B214F53}"/>
            </a:ext>
          </a:extLst>
        </xdr:cNvPr>
        <xdr:cNvCxnSpPr>
          <a:stCxn id="20" idx="1"/>
        </xdr:cNvCxnSpPr>
      </xdr:nvCxnSpPr>
      <xdr:spPr>
        <a:xfrm flipH="1" flipV="1">
          <a:off x="13480676" y="3316941"/>
          <a:ext cx="437029" cy="23532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257736</xdr:colOff>
      <xdr:row>21</xdr:row>
      <xdr:rowOff>56029</xdr:rowOff>
    </xdr:from>
    <xdr:to>
      <xdr:col>18</xdr:col>
      <xdr:colOff>437030</xdr:colOff>
      <xdr:row>23</xdr:row>
      <xdr:rowOff>11206</xdr:rowOff>
    </xdr:to>
    <xdr:sp macro="" textlink="">
      <xdr:nvSpPr>
        <xdr:cNvPr id="25" name="Textfeld 24">
          <a:extLst>
            <a:ext uri="{FF2B5EF4-FFF2-40B4-BE49-F238E27FC236}">
              <a16:creationId xmlns:a16="http://schemas.microsoft.com/office/drawing/2014/main" id="{1783004B-AA79-4C31-8D56-368FBAA6832B}"/>
            </a:ext>
          </a:extLst>
        </xdr:cNvPr>
        <xdr:cNvSpPr txBox="1"/>
      </xdr:nvSpPr>
      <xdr:spPr>
        <a:xfrm>
          <a:off x="11878236" y="4056529"/>
          <a:ext cx="1703294"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t>Mörsereinschlag</a:t>
          </a:r>
          <a:endParaRPr lang="de-DE" sz="1400" baseline="0"/>
        </a:p>
      </xdr:txBody>
    </xdr:sp>
    <xdr:clientData/>
  </xdr:twoCellAnchor>
  <xdr:twoCellAnchor>
    <xdr:from>
      <xdr:col>15</xdr:col>
      <xdr:colOff>582706</xdr:colOff>
      <xdr:row>20</xdr:row>
      <xdr:rowOff>33618</xdr:rowOff>
    </xdr:from>
    <xdr:to>
      <xdr:col>16</xdr:col>
      <xdr:colOff>257736</xdr:colOff>
      <xdr:row>22</xdr:row>
      <xdr:rowOff>33618</xdr:rowOff>
    </xdr:to>
    <xdr:cxnSp macro="">
      <xdr:nvCxnSpPr>
        <xdr:cNvPr id="27" name="Gerade Verbindung mit Pfeil 26">
          <a:extLst>
            <a:ext uri="{FF2B5EF4-FFF2-40B4-BE49-F238E27FC236}">
              <a16:creationId xmlns:a16="http://schemas.microsoft.com/office/drawing/2014/main" id="{ACB2EF7C-EC31-4C54-A74B-A233FD9870E2}"/>
            </a:ext>
          </a:extLst>
        </xdr:cNvPr>
        <xdr:cNvCxnSpPr>
          <a:stCxn id="25" idx="1"/>
        </xdr:cNvCxnSpPr>
      </xdr:nvCxnSpPr>
      <xdr:spPr>
        <a:xfrm flipH="1" flipV="1">
          <a:off x="11441206" y="3843618"/>
          <a:ext cx="437030" cy="381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51548</xdr:colOff>
      <xdr:row>15</xdr:row>
      <xdr:rowOff>163606</xdr:rowOff>
    </xdr:from>
    <xdr:to>
      <xdr:col>17</xdr:col>
      <xdr:colOff>358588</xdr:colOff>
      <xdr:row>17</xdr:row>
      <xdr:rowOff>118783</xdr:rowOff>
    </xdr:to>
    <xdr:sp macro="" textlink="">
      <xdr:nvSpPr>
        <xdr:cNvPr id="30" name="Textfeld 29">
          <a:extLst>
            <a:ext uri="{FF2B5EF4-FFF2-40B4-BE49-F238E27FC236}">
              <a16:creationId xmlns:a16="http://schemas.microsoft.com/office/drawing/2014/main" id="{1E997934-DA66-4692-88A8-B27F738B5B04}"/>
            </a:ext>
          </a:extLst>
        </xdr:cNvPr>
        <xdr:cNvSpPr txBox="1"/>
      </xdr:nvSpPr>
      <xdr:spPr>
        <a:xfrm>
          <a:off x="11672048" y="3021106"/>
          <a:ext cx="1069040"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baseline="0"/>
            <a:t>Mörserfolge</a:t>
          </a:r>
        </a:p>
      </xdr:txBody>
    </xdr:sp>
    <xdr:clientData/>
  </xdr:twoCellAnchor>
  <xdr:twoCellAnchor>
    <xdr:from>
      <xdr:col>15</xdr:col>
      <xdr:colOff>302559</xdr:colOff>
      <xdr:row>16</xdr:row>
      <xdr:rowOff>141195</xdr:rowOff>
    </xdr:from>
    <xdr:to>
      <xdr:col>16</xdr:col>
      <xdr:colOff>51548</xdr:colOff>
      <xdr:row>18</xdr:row>
      <xdr:rowOff>78441</xdr:rowOff>
    </xdr:to>
    <xdr:cxnSp macro="">
      <xdr:nvCxnSpPr>
        <xdr:cNvPr id="31" name="Gerade Verbindung mit Pfeil 30">
          <a:extLst>
            <a:ext uri="{FF2B5EF4-FFF2-40B4-BE49-F238E27FC236}">
              <a16:creationId xmlns:a16="http://schemas.microsoft.com/office/drawing/2014/main" id="{541E682A-220E-41C9-80B9-31EF1732383E}"/>
            </a:ext>
          </a:extLst>
        </xdr:cNvPr>
        <xdr:cNvCxnSpPr>
          <a:stCxn id="30" idx="1"/>
        </xdr:cNvCxnSpPr>
      </xdr:nvCxnSpPr>
      <xdr:spPr>
        <a:xfrm flipH="1">
          <a:off x="11161059" y="3189195"/>
          <a:ext cx="510989" cy="31824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562536</xdr:colOff>
      <xdr:row>2</xdr:row>
      <xdr:rowOff>69477</xdr:rowOff>
    </xdr:from>
    <xdr:to>
      <xdr:col>19</xdr:col>
      <xdr:colOff>582706</xdr:colOff>
      <xdr:row>6</xdr:row>
      <xdr:rowOff>78441</xdr:rowOff>
    </xdr:to>
    <xdr:sp macro="" textlink="">
      <xdr:nvSpPr>
        <xdr:cNvPr id="35" name="Textfeld 34">
          <a:extLst>
            <a:ext uri="{FF2B5EF4-FFF2-40B4-BE49-F238E27FC236}">
              <a16:creationId xmlns:a16="http://schemas.microsoft.com/office/drawing/2014/main" id="{0B4C0C14-41EB-4D07-9CC4-B6122F443D60}"/>
            </a:ext>
          </a:extLst>
        </xdr:cNvPr>
        <xdr:cNvSpPr txBox="1"/>
      </xdr:nvSpPr>
      <xdr:spPr>
        <a:xfrm>
          <a:off x="12183036" y="450477"/>
          <a:ext cx="2306170" cy="770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baseline="0"/>
            <a:t>Maximale Reichweite des Mörser mit der ausgewählten Anzahl an Ringen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37</xdr:col>
      <xdr:colOff>413161</xdr:colOff>
      <xdr:row>35</xdr:row>
      <xdr:rowOff>124937</xdr:rowOff>
    </xdr:from>
    <xdr:to>
      <xdr:col>44</xdr:col>
      <xdr:colOff>41193</xdr:colOff>
      <xdr:row>55</xdr:row>
      <xdr:rowOff>142255</xdr:rowOff>
    </xdr:to>
    <xdr:graphicFrame macro="">
      <xdr:nvGraphicFramePr>
        <xdr:cNvPr id="13" name="Diagramm 12">
          <a:extLst>
            <a:ext uri="{FF2B5EF4-FFF2-40B4-BE49-F238E27FC236}">
              <a16:creationId xmlns:a16="http://schemas.microsoft.com/office/drawing/2014/main" id="{E29AB25D-0B3A-424C-8CB6-F10B0DEC0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B52B7-2EBD-495E-B2FB-B9AC6E694EA5}">
  <sheetPr codeName="Tabelle3"/>
  <dimension ref="A1:R32"/>
  <sheetViews>
    <sheetView showGridLines="0" tabSelected="1" zoomScale="25" zoomScaleNormal="25" workbookViewId="0">
      <selection activeCell="G42" sqref="G42"/>
    </sheetView>
  </sheetViews>
  <sheetFormatPr baseColWidth="10" defaultRowHeight="15" x14ac:dyDescent="0.25"/>
  <cols>
    <col min="1" max="2" width="2.7109375" customWidth="1"/>
    <col min="3" max="3" width="12.28515625" customWidth="1"/>
    <col min="4" max="4" width="9.85546875" customWidth="1"/>
    <col min="5" max="5" width="10.5703125" customWidth="1"/>
    <col min="6" max="14" width="7.7109375" customWidth="1"/>
    <col min="15" max="15" width="4" customWidth="1"/>
    <col min="16" max="17" width="5.28515625" customWidth="1"/>
    <col min="18" max="18" width="6.85546875" customWidth="1"/>
    <col min="19" max="72" width="5.28515625" customWidth="1"/>
  </cols>
  <sheetData>
    <row r="1" spans="1:18" ht="15.75" thickBot="1" x14ac:dyDescent="0.3">
      <c r="P1" s="79">
        <v>1441</v>
      </c>
    </row>
    <row r="2" spans="1:18" ht="15.75" thickBot="1" x14ac:dyDescent="0.3">
      <c r="B2" s="65"/>
      <c r="C2" s="66"/>
      <c r="D2" s="66"/>
      <c r="E2" s="66"/>
      <c r="F2" s="66"/>
      <c r="G2" s="66"/>
      <c r="H2" s="66"/>
      <c r="I2" s="66"/>
      <c r="J2" s="66"/>
      <c r="K2" s="66"/>
      <c r="L2" s="66"/>
      <c r="M2" s="66"/>
      <c r="N2" s="66"/>
      <c r="O2" s="67"/>
    </row>
    <row r="3" spans="1:18" ht="18.75" x14ac:dyDescent="0.3">
      <c r="B3" s="17"/>
      <c r="C3" s="84" t="s">
        <v>18</v>
      </c>
      <c r="D3" s="85"/>
      <c r="E3" s="85"/>
      <c r="F3" s="86"/>
      <c r="O3" s="8"/>
    </row>
    <row r="4" spans="1:18" x14ac:dyDescent="0.25">
      <c r="B4" s="17"/>
      <c r="C4" s="10"/>
      <c r="D4" s="68" t="s">
        <v>71</v>
      </c>
      <c r="E4" s="68" t="s">
        <v>17</v>
      </c>
      <c r="F4" s="11"/>
      <c r="O4" s="8"/>
    </row>
    <row r="5" spans="1:18" x14ac:dyDescent="0.25">
      <c r="A5" s="1"/>
      <c r="B5" s="69"/>
      <c r="C5" s="12" t="s">
        <v>15</v>
      </c>
      <c r="D5" s="31">
        <v>481</v>
      </c>
      <c r="E5" s="32">
        <v>707</v>
      </c>
      <c r="F5" s="61">
        <f>IF(D5-E5=0,D5+0.0001,D5)</f>
        <v>481</v>
      </c>
      <c r="O5" s="8"/>
      <c r="R5">
        <v>225</v>
      </c>
    </row>
    <row r="6" spans="1:18" x14ac:dyDescent="0.25">
      <c r="A6" s="1"/>
      <c r="B6" s="69"/>
      <c r="C6" s="12" t="s">
        <v>16</v>
      </c>
      <c r="D6" s="31">
        <v>473</v>
      </c>
      <c r="E6" s="32">
        <v>428</v>
      </c>
      <c r="F6" s="61">
        <f>IF(D6-E6=0,D6+0.0001,D6)</f>
        <v>473</v>
      </c>
      <c r="O6" s="8"/>
      <c r="R6">
        <f>D6*3.5</f>
        <v>1655.5</v>
      </c>
    </row>
    <row r="7" spans="1:18" ht="15.75" thickBot="1" x14ac:dyDescent="0.3">
      <c r="A7" s="1"/>
      <c r="B7" s="69"/>
      <c r="C7" s="13" t="s">
        <v>25</v>
      </c>
      <c r="D7" s="33">
        <v>95</v>
      </c>
      <c r="E7" s="34">
        <v>145</v>
      </c>
      <c r="F7" s="9"/>
      <c r="O7" s="8"/>
    </row>
    <row r="8" spans="1:18" x14ac:dyDescent="0.25">
      <c r="B8" s="17"/>
      <c r="O8" s="8"/>
    </row>
    <row r="9" spans="1:18" ht="15.75" thickBot="1" x14ac:dyDescent="0.3">
      <c r="B9" s="17"/>
      <c r="O9" s="8"/>
    </row>
    <row r="10" spans="1:18" ht="18.75" x14ac:dyDescent="0.3">
      <c r="B10" s="17"/>
      <c r="C10" s="84" t="s">
        <v>70</v>
      </c>
      <c r="D10" s="85"/>
      <c r="E10" s="85"/>
      <c r="F10" s="86"/>
      <c r="O10" s="8"/>
    </row>
    <row r="11" spans="1:18" x14ac:dyDescent="0.25">
      <c r="B11" s="17"/>
      <c r="C11" s="15"/>
      <c r="D11" s="49"/>
      <c r="E11" s="49"/>
      <c r="F11" s="16"/>
      <c r="O11" s="8"/>
    </row>
    <row r="12" spans="1:18" x14ac:dyDescent="0.25">
      <c r="A12" s="1"/>
      <c r="B12" s="69"/>
      <c r="C12" s="17"/>
      <c r="D12" s="2" t="s">
        <v>28</v>
      </c>
      <c r="E12" s="70">
        <v>4</v>
      </c>
      <c r="F12" s="8" t="s">
        <v>23</v>
      </c>
      <c r="K12" s="2"/>
      <c r="O12" s="8"/>
    </row>
    <row r="13" spans="1:18" x14ac:dyDescent="0.25">
      <c r="A13" s="1"/>
      <c r="B13" s="69"/>
      <c r="C13" s="17"/>
      <c r="D13" s="2"/>
      <c r="F13" s="8"/>
      <c r="K13" s="2"/>
      <c r="O13" s="8"/>
    </row>
    <row r="14" spans="1:18" x14ac:dyDescent="0.25">
      <c r="B14" s="17"/>
      <c r="C14" s="18"/>
      <c r="D14" s="14" t="s">
        <v>29</v>
      </c>
      <c r="E14" s="47">
        <f>((D5-E5)^2+(D6-E6)^2)^(1/2)*10</f>
        <v>2304.3654224102565</v>
      </c>
      <c r="F14" s="19" t="s">
        <v>22</v>
      </c>
      <c r="O14" s="8"/>
    </row>
    <row r="15" spans="1:18" x14ac:dyDescent="0.25">
      <c r="A15" s="1"/>
      <c r="B15" s="69"/>
      <c r="C15" s="62"/>
      <c r="D15" s="71" t="s">
        <v>30</v>
      </c>
      <c r="E15" s="72">
        <f>VLOOKUP($E$12,Tabelle1!$G$4:$AB$8,12,FALSE)</f>
        <v>1134.6016305128551</v>
      </c>
      <c r="F15" s="22" t="s">
        <v>21</v>
      </c>
      <c r="O15" s="8"/>
    </row>
    <row r="16" spans="1:18" x14ac:dyDescent="0.25">
      <c r="A16" s="1"/>
      <c r="B16" s="69"/>
      <c r="C16" s="62"/>
      <c r="D16" s="71" t="s">
        <v>26</v>
      </c>
      <c r="E16" s="72">
        <f>VLOOKUP(E12,Tabelle1!$G$11:$R$15,3,FALSE)</f>
        <v>9.1136667230312494</v>
      </c>
      <c r="F16" s="22" t="s">
        <v>21</v>
      </c>
      <c r="O16" s="8"/>
    </row>
    <row r="17" spans="1:15" ht="18.75" x14ac:dyDescent="0.3">
      <c r="A17" s="1"/>
      <c r="B17" s="69"/>
      <c r="C17" s="24"/>
      <c r="D17" s="73" t="s">
        <v>27</v>
      </c>
      <c r="E17" s="74">
        <f>IF((D7-E7)&gt;0,E15+E16,E15-E16)</f>
        <v>1125.4879637898239</v>
      </c>
      <c r="F17" s="23" t="s">
        <v>21</v>
      </c>
      <c r="O17" s="8"/>
    </row>
    <row r="18" spans="1:15" x14ac:dyDescent="0.25">
      <c r="B18" s="17"/>
      <c r="C18" s="64"/>
      <c r="D18" s="25" t="s">
        <v>24</v>
      </c>
      <c r="E18" s="26" cm="1">
        <f t="array" ref="E18">INDEX('Flg Zeiten'!E3:I35,VLOOKUP(ROUND(E14/1000,1)*1000,'Flg Zeiten'!C3:D35,2,FALSE),1+E12)</f>
        <v>32.700000000000003</v>
      </c>
      <c r="F18" s="27" t="s">
        <v>80</v>
      </c>
      <c r="O18" s="8"/>
    </row>
    <row r="19" spans="1:15" x14ac:dyDescent="0.25">
      <c r="B19" s="17"/>
      <c r="C19" s="17"/>
      <c r="F19" s="8"/>
      <c r="O19" s="8"/>
    </row>
    <row r="20" spans="1:15" x14ac:dyDescent="0.25">
      <c r="B20" s="17"/>
      <c r="C20" s="18"/>
      <c r="D20" s="83" t="s">
        <v>19</v>
      </c>
      <c r="E20" s="83"/>
      <c r="F20" s="19"/>
      <c r="O20" s="8"/>
    </row>
    <row r="21" spans="1:15" x14ac:dyDescent="0.25">
      <c r="B21" s="17"/>
      <c r="C21" s="62"/>
      <c r="D21" s="71" t="s">
        <v>31</v>
      </c>
      <c r="E21" s="75">
        <f>IF((F6-E6)&lt;0,IF((F5-E5)&gt;0,360+(ATAN((F5-E5)/(F6-E6))*180/PI()),IF((F5-E5)&lt;0,0+(ATAN((F5-E5)/(F6-E6))*180/PI()))),IF((F5-E5)&lt;0,180+(ATAN((F5-E5)/(F6-E6))*180/PI()),180+(ATAN((F5-E5)/(F6-E6))*180/PI())))</f>
        <v>101.26117012025017</v>
      </c>
      <c r="F21" s="22" t="s">
        <v>20</v>
      </c>
      <c r="O21" s="8"/>
    </row>
    <row r="22" spans="1:15" ht="18.75" x14ac:dyDescent="0.3">
      <c r="B22" s="17"/>
      <c r="C22" s="63"/>
      <c r="D22" s="28" t="s">
        <v>31</v>
      </c>
      <c r="E22" s="29">
        <f>E21/360*6400</f>
        <v>1800.1985799155586</v>
      </c>
      <c r="F22" s="30" t="s">
        <v>21</v>
      </c>
      <c r="O22" s="8"/>
    </row>
    <row r="23" spans="1:15" ht="15.75" thickBot="1" x14ac:dyDescent="0.3">
      <c r="B23" s="17"/>
      <c r="C23" s="20"/>
      <c r="D23" s="21"/>
      <c r="E23" s="21"/>
      <c r="F23" s="9"/>
      <c r="O23" s="8"/>
    </row>
    <row r="24" spans="1:15" ht="15.75" thickBot="1" x14ac:dyDescent="0.3">
      <c r="B24" s="17"/>
      <c r="O24" s="8"/>
    </row>
    <row r="25" spans="1:15" x14ac:dyDescent="0.25">
      <c r="B25" s="17"/>
      <c r="C25" s="80" t="s">
        <v>75</v>
      </c>
      <c r="D25" s="81"/>
      <c r="E25" s="81"/>
      <c r="F25" s="81"/>
      <c r="G25" s="81"/>
      <c r="H25" s="81"/>
      <c r="I25" s="81"/>
      <c r="J25" s="81"/>
      <c r="K25" s="81"/>
      <c r="L25" s="81"/>
      <c r="M25" s="81"/>
      <c r="N25" s="82"/>
      <c r="O25" s="8"/>
    </row>
    <row r="26" spans="1:15" x14ac:dyDescent="0.25">
      <c r="B26" s="17"/>
      <c r="C26" s="51"/>
      <c r="D26" s="52" t="s">
        <v>77</v>
      </c>
      <c r="E26" s="78" t="s">
        <v>76</v>
      </c>
      <c r="F26" s="53"/>
      <c r="N26" s="8"/>
      <c r="O26" s="8"/>
    </row>
    <row r="27" spans="1:15" ht="30.75" x14ac:dyDescent="0.3">
      <c r="B27" s="17"/>
      <c r="C27" s="54"/>
      <c r="D27" s="55" t="s">
        <v>61</v>
      </c>
      <c r="E27" s="77" t="s">
        <v>32</v>
      </c>
      <c r="F27" s="56" t="str">
        <f>IF(ISERROR(VLOOKUP(E27,Tabelle1!$AT$25:$AV$32,3,FALSE)),"",VLOOKUP(E27,Tabelle1!$AT$25:$AV$32,3,FALSE))</f>
        <v>↑</v>
      </c>
      <c r="N27" s="8"/>
      <c r="O27" s="76"/>
    </row>
    <row r="28" spans="1:15" x14ac:dyDescent="0.25">
      <c r="B28" s="17"/>
      <c r="C28" s="17"/>
      <c r="N28" s="8"/>
      <c r="O28" s="8"/>
    </row>
    <row r="29" spans="1:15" x14ac:dyDescent="0.25">
      <c r="B29" s="17"/>
      <c r="C29" s="17"/>
      <c r="E29" t="s">
        <v>40</v>
      </c>
      <c r="F29" t="s">
        <v>41</v>
      </c>
      <c r="G29" t="s">
        <v>42</v>
      </c>
      <c r="H29" t="s">
        <v>43</v>
      </c>
      <c r="I29" t="s">
        <v>44</v>
      </c>
      <c r="J29" t="s">
        <v>45</v>
      </c>
      <c r="K29" t="s">
        <v>46</v>
      </c>
      <c r="L29" t="s">
        <v>47</v>
      </c>
      <c r="M29" t="s">
        <v>48</v>
      </c>
      <c r="N29" s="8" t="s">
        <v>49</v>
      </c>
      <c r="O29" s="8"/>
    </row>
    <row r="30" spans="1:15" ht="18.75" x14ac:dyDescent="0.3">
      <c r="B30" s="17"/>
      <c r="C30" s="17" t="s">
        <v>50</v>
      </c>
      <c r="D30" s="2" t="s">
        <v>60</v>
      </c>
      <c r="E30" s="57">
        <f>VLOOKUP($E$27,Tabelle1!$AO$3:$DG$19,6,FALSE)</f>
        <v>1125.4879637898239</v>
      </c>
      <c r="F30" s="57">
        <f>VLOOKUP($E$27,Tabelle1!$AO$3:$DG$19,13,FALSE)</f>
        <v>1126.5822170365705</v>
      </c>
      <c r="G30" s="57">
        <f>VLOOKUP($E$27,Tabelle1!$AO$3:$DG$19,20,FALSE)</f>
        <v>1127.6249063607374</v>
      </c>
      <c r="H30" s="57">
        <f>VLOOKUP($E$27,Tabelle1!$AO$3:$DG$19,27,FALSE)</f>
        <v>1128.6163171885214</v>
      </c>
      <c r="I30" s="57">
        <f>VLOOKUP($E$27,Tabelle1!$AO$3:$DG$19,34,FALSE)</f>
        <v>1129.5567139955901</v>
      </c>
      <c r="J30" s="57">
        <f>VLOOKUP($E$27,Tabelle1!$AO$3:$DG$19,41,FALSE)</f>
        <v>1130.4463413960134</v>
      </c>
      <c r="K30" s="57">
        <f>VLOOKUP($E$27,Tabelle1!$AO$3:$DG$19,48,FALSE)</f>
        <v>1131.2854251738518</v>
      </c>
      <c r="L30" s="57">
        <f>VLOOKUP($E$27,Tabelle1!$AO$3:$DG$19,55,FALSE)</f>
        <v>1132.0741732578206</v>
      </c>
      <c r="M30" s="57">
        <f>VLOOKUP($E$27,Tabelle1!$AO$3:$DG$19,62,FALSE)</f>
        <v>1132.8127766394123</v>
      </c>
      <c r="N30" s="58">
        <f>VLOOKUP($E$27,Tabelle1!$AO$3:$DG$19,69,FALSE)</f>
        <v>1133.5014102348587</v>
      </c>
      <c r="O30" s="8"/>
    </row>
    <row r="31" spans="1:15" ht="19.5" thickBot="1" x14ac:dyDescent="0.35">
      <c r="B31" s="17"/>
      <c r="C31" s="20" t="s">
        <v>19</v>
      </c>
      <c r="D31" s="50" t="s">
        <v>31</v>
      </c>
      <c r="E31" s="59">
        <f>VLOOKUP($E$27,Tabelle1!$AO$3:$DG$19,8,FALSE)</f>
        <v>1800.1985799155586</v>
      </c>
      <c r="F31" s="59">
        <f>VLOOKUP($E$27,Tabelle1!$AO$3:$DG$19,15,FALSE)</f>
        <v>1791.5137359683679</v>
      </c>
      <c r="G31" s="59">
        <f>VLOOKUP($E$27,Tabelle1!$AO$3:$DG$19,22,FALSE)</f>
        <v>1782.800622742639</v>
      </c>
      <c r="H31" s="59">
        <f>VLOOKUP($E$27,Tabelle1!$AO$3:$DG$19,29,FALSE)</f>
        <v>1774.0603831659307</v>
      </c>
      <c r="I31" s="59">
        <f>VLOOKUP($E$27,Tabelle1!$AO$3:$DG$19,36,FALSE)</f>
        <v>1765.2941832672586</v>
      </c>
      <c r="J31" s="59">
        <f>VLOOKUP($E$27,Tabelle1!$AO$3:$DG$19,43,FALSE)</f>
        <v>1756.5032113907441</v>
      </c>
      <c r="K31" s="59">
        <f>VLOOKUP($E$27,Tabelle1!$AO$3:$DG$19,50,FALSE)</f>
        <v>1747.6886773633464</v>
      </c>
      <c r="L31" s="59">
        <f>VLOOKUP($E$27,Tabelle1!$AO$3:$DG$19,57,FALSE)</f>
        <v>1738.8518116177906</v>
      </c>
      <c r="M31" s="59">
        <f>VLOOKUP($E$27,Tabelle1!$AO$3:$DG$19,64,FALSE)</f>
        <v>1729.9938642719685</v>
      </c>
      <c r="N31" s="60">
        <f>VLOOKUP($E$27,Tabelle1!$AO$3:$DG$19,71,FALSE)</f>
        <v>1721.1161041662656</v>
      </c>
      <c r="O31" s="8"/>
    </row>
    <row r="32" spans="1:15" ht="15.75" thickBot="1" x14ac:dyDescent="0.3">
      <c r="B32" s="20"/>
      <c r="C32" s="21"/>
      <c r="D32" s="21"/>
      <c r="E32" s="21"/>
      <c r="F32" s="21"/>
      <c r="G32" s="21"/>
      <c r="H32" s="21"/>
      <c r="I32" s="21"/>
      <c r="J32" s="21"/>
      <c r="K32" s="21"/>
      <c r="L32" s="21"/>
      <c r="M32" s="21"/>
      <c r="N32" s="21"/>
      <c r="O32" s="9"/>
    </row>
  </sheetData>
  <mergeCells count="4">
    <mergeCell ref="C25:N25"/>
    <mergeCell ref="D20:E20"/>
    <mergeCell ref="C3:F3"/>
    <mergeCell ref="C10:F10"/>
  </mergeCells>
  <dataValidations count="1">
    <dataValidation type="list" allowBlank="1" showInputMessage="1" showErrorMessage="1" sqref="E26" xr:uid="{19EE168A-0151-4400-9CD1-4583556279F4}">
      <formula1>"JA,NEIN"</formula1>
    </dataValidation>
  </dataValidations>
  <pageMargins left="0.7" right="0.7" top="0.78740157499999996" bottom="0.78740157499999996"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39BECB6-1235-4212-AC3A-1AF6619BCA4E}">
          <x14:formula1>
            <xm:f>Tabelle1!$AT$25:$AT$32</xm:f>
          </x14:formula1>
          <xm:sqref>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D63F9-F8CD-4FC3-B806-3CBFCCA40B8C}">
  <sheetPr codeName="Tabelle6"/>
  <dimension ref="A1"/>
  <sheetViews>
    <sheetView showGridLines="0" zoomScale="85" zoomScaleNormal="85" workbookViewId="0">
      <selection activeCell="J15" sqref="J15"/>
    </sheetView>
  </sheetViews>
  <sheetFormatPr baseColWidth="10" defaultRowHeight="15" x14ac:dyDescent="0.25"/>
  <cols>
    <col min="1" max="1" width="2.85546875" customWidth="1"/>
  </cols>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628F-87F9-4841-9042-1BBD31627D70}">
  <sheetPr codeName="Tabelle2"/>
  <dimension ref="B1:J81"/>
  <sheetViews>
    <sheetView zoomScale="85" zoomScaleNormal="85" workbookViewId="0">
      <selection activeCell="J4" sqref="J4"/>
    </sheetView>
  </sheetViews>
  <sheetFormatPr baseColWidth="10" defaultRowHeight="15" x14ac:dyDescent="0.25"/>
  <cols>
    <col min="5" max="9" width="6.28515625" customWidth="1"/>
  </cols>
  <sheetData>
    <row r="1" spans="2:10" x14ac:dyDescent="0.25">
      <c r="E1" t="s">
        <v>72</v>
      </c>
    </row>
    <row r="2" spans="2:10" x14ac:dyDescent="0.25">
      <c r="C2" t="s">
        <v>50</v>
      </c>
      <c r="D2" t="s">
        <v>73</v>
      </c>
      <c r="E2">
        <v>0</v>
      </c>
      <c r="F2">
        <v>1</v>
      </c>
      <c r="G2">
        <v>2</v>
      </c>
      <c r="H2">
        <v>3</v>
      </c>
      <c r="I2">
        <v>4</v>
      </c>
    </row>
    <row r="3" spans="2:10" x14ac:dyDescent="0.25">
      <c r="B3" s="2"/>
      <c r="C3" s="2">
        <v>50</v>
      </c>
      <c r="D3" s="2">
        <v>1</v>
      </c>
      <c r="E3" s="2">
        <v>13.2</v>
      </c>
      <c r="J3" t="s">
        <v>74</v>
      </c>
    </row>
    <row r="4" spans="2:10" x14ac:dyDescent="0.25">
      <c r="B4" s="2"/>
      <c r="C4" s="2">
        <f>C3+50</f>
        <v>100</v>
      </c>
      <c r="D4" s="2">
        <f>D3+1</f>
        <v>2</v>
      </c>
      <c r="E4" s="2">
        <v>13.2</v>
      </c>
      <c r="F4" s="2">
        <v>20</v>
      </c>
    </row>
    <row r="5" spans="2:10" x14ac:dyDescent="0.25">
      <c r="B5" s="2"/>
      <c r="C5" s="2">
        <f t="shared" ref="C5:C10" si="0">C4+50</f>
        <v>150</v>
      </c>
      <c r="D5" s="2">
        <f>D4+1</f>
        <v>3</v>
      </c>
      <c r="E5" s="2">
        <v>13</v>
      </c>
    </row>
    <row r="6" spans="2:10" x14ac:dyDescent="0.25">
      <c r="B6" s="2"/>
      <c r="C6" s="2">
        <f t="shared" si="0"/>
        <v>200</v>
      </c>
      <c r="D6" s="2">
        <f t="shared" ref="D6:D35" si="1">D5+1</f>
        <v>4</v>
      </c>
      <c r="E6" s="2">
        <v>12.8</v>
      </c>
      <c r="F6" s="2">
        <v>19.899999999999999</v>
      </c>
      <c r="G6" s="2">
        <v>26.6</v>
      </c>
    </row>
    <row r="7" spans="2:10" x14ac:dyDescent="0.25">
      <c r="B7" s="2"/>
      <c r="C7" s="2">
        <f t="shared" si="0"/>
        <v>250</v>
      </c>
      <c r="D7" s="2">
        <f t="shared" si="1"/>
        <v>5</v>
      </c>
      <c r="E7" s="2">
        <v>12.6</v>
      </c>
    </row>
    <row r="8" spans="2:10" x14ac:dyDescent="0.25">
      <c r="B8" s="2"/>
      <c r="C8" s="2">
        <f t="shared" si="0"/>
        <v>300</v>
      </c>
      <c r="D8" s="2">
        <f t="shared" si="1"/>
        <v>6</v>
      </c>
      <c r="E8" s="2">
        <v>12.3</v>
      </c>
      <c r="F8" s="2">
        <v>19.7</v>
      </c>
      <c r="G8" s="2">
        <v>26.5</v>
      </c>
      <c r="H8" s="2">
        <v>31.7</v>
      </c>
    </row>
    <row r="9" spans="2:10" x14ac:dyDescent="0.25">
      <c r="B9" s="2"/>
      <c r="C9" s="2">
        <f t="shared" si="0"/>
        <v>350</v>
      </c>
      <c r="D9" s="2">
        <f t="shared" si="1"/>
        <v>7</v>
      </c>
      <c r="E9" s="2">
        <v>11.7</v>
      </c>
    </row>
    <row r="10" spans="2:10" x14ac:dyDescent="0.25">
      <c r="B10" s="2"/>
      <c r="C10" s="2">
        <f t="shared" si="0"/>
        <v>400</v>
      </c>
      <c r="D10" s="2">
        <f t="shared" si="1"/>
        <v>8</v>
      </c>
      <c r="E10" s="2">
        <v>10.7</v>
      </c>
      <c r="F10" s="2">
        <v>19.5</v>
      </c>
      <c r="G10" s="2">
        <v>26.4</v>
      </c>
      <c r="H10" s="2">
        <v>31.6</v>
      </c>
      <c r="I10" s="2">
        <v>36.299999999999997</v>
      </c>
    </row>
    <row r="11" spans="2:10" x14ac:dyDescent="0.25">
      <c r="B11" s="2"/>
      <c r="C11" s="2">
        <f>C10+100</f>
        <v>500</v>
      </c>
      <c r="D11" s="2">
        <f t="shared" si="1"/>
        <v>9</v>
      </c>
      <c r="F11" s="2">
        <v>19.2</v>
      </c>
      <c r="G11" s="2">
        <v>26.3</v>
      </c>
      <c r="H11" s="2">
        <v>31.6</v>
      </c>
      <c r="I11" s="2">
        <v>36.200000000000003</v>
      </c>
    </row>
    <row r="12" spans="2:10" x14ac:dyDescent="0.25">
      <c r="B12" s="2"/>
      <c r="C12" s="2">
        <f t="shared" ref="C12:C22" si="2">C11+100</f>
        <v>600</v>
      </c>
      <c r="D12" s="2">
        <f t="shared" si="1"/>
        <v>10</v>
      </c>
      <c r="F12" s="2">
        <v>18.8</v>
      </c>
      <c r="G12" s="2">
        <v>26.2</v>
      </c>
      <c r="H12" s="2">
        <v>31.5</v>
      </c>
      <c r="I12" s="2">
        <v>36.200000000000003</v>
      </c>
    </row>
    <row r="13" spans="2:10" x14ac:dyDescent="0.25">
      <c r="B13" s="2"/>
      <c r="C13" s="2">
        <f t="shared" si="2"/>
        <v>700</v>
      </c>
      <c r="D13" s="2">
        <f t="shared" si="1"/>
        <v>11</v>
      </c>
      <c r="F13" s="2">
        <v>18.3</v>
      </c>
      <c r="G13" s="2">
        <v>26</v>
      </c>
      <c r="H13" s="2">
        <v>31.4</v>
      </c>
      <c r="I13" s="2">
        <v>36.1</v>
      </c>
    </row>
    <row r="14" spans="2:10" x14ac:dyDescent="0.25">
      <c r="B14" s="2"/>
      <c r="C14" s="2">
        <f t="shared" si="2"/>
        <v>800</v>
      </c>
      <c r="D14" s="2">
        <f t="shared" si="1"/>
        <v>12</v>
      </c>
      <c r="F14" s="2">
        <v>17.5</v>
      </c>
      <c r="G14" s="2">
        <v>25.8</v>
      </c>
      <c r="H14" s="2">
        <v>31.3</v>
      </c>
      <c r="I14" s="2">
        <v>36</v>
      </c>
    </row>
    <row r="15" spans="2:10" x14ac:dyDescent="0.25">
      <c r="B15" s="2"/>
      <c r="C15" s="2">
        <f t="shared" si="2"/>
        <v>900</v>
      </c>
      <c r="D15" s="2">
        <f t="shared" si="1"/>
        <v>13</v>
      </c>
      <c r="F15" s="2">
        <v>16.100000000000001</v>
      </c>
      <c r="G15" s="2">
        <v>25.5</v>
      </c>
      <c r="H15" s="2">
        <v>31.1</v>
      </c>
      <c r="I15" s="2">
        <v>35.9</v>
      </c>
    </row>
    <row r="16" spans="2:10" x14ac:dyDescent="0.25">
      <c r="B16" s="2"/>
      <c r="C16" s="2">
        <f t="shared" si="2"/>
        <v>1000</v>
      </c>
      <c r="D16" s="2">
        <f t="shared" si="1"/>
        <v>14</v>
      </c>
      <c r="F16" s="2"/>
      <c r="G16" s="2">
        <v>25.2</v>
      </c>
      <c r="H16" s="2">
        <v>31</v>
      </c>
      <c r="I16" s="2">
        <v>35.799999999999997</v>
      </c>
    </row>
    <row r="17" spans="2:9" x14ac:dyDescent="0.25">
      <c r="B17" s="2"/>
      <c r="C17" s="2">
        <f t="shared" si="2"/>
        <v>1100</v>
      </c>
      <c r="D17" s="2">
        <f t="shared" si="1"/>
        <v>15</v>
      </c>
      <c r="G17" s="2">
        <v>24.9</v>
      </c>
      <c r="H17" s="2">
        <v>30.8</v>
      </c>
      <c r="I17" s="2">
        <v>35.700000000000003</v>
      </c>
    </row>
    <row r="18" spans="2:9" x14ac:dyDescent="0.25">
      <c r="B18" s="2"/>
      <c r="C18" s="2">
        <f t="shared" si="2"/>
        <v>1200</v>
      </c>
      <c r="D18" s="2">
        <f t="shared" si="1"/>
        <v>16</v>
      </c>
      <c r="G18" s="2">
        <v>24.4</v>
      </c>
      <c r="H18" s="2">
        <v>30.6</v>
      </c>
      <c r="I18" s="2">
        <v>35.6</v>
      </c>
    </row>
    <row r="19" spans="2:9" x14ac:dyDescent="0.25">
      <c r="B19" s="2"/>
      <c r="C19" s="2">
        <f t="shared" si="2"/>
        <v>1300</v>
      </c>
      <c r="D19" s="2">
        <f t="shared" si="1"/>
        <v>17</v>
      </c>
      <c r="G19" s="2">
        <v>23.9</v>
      </c>
      <c r="H19" s="2">
        <v>30.3</v>
      </c>
      <c r="I19" s="2">
        <v>35.4</v>
      </c>
    </row>
    <row r="20" spans="2:9" x14ac:dyDescent="0.25">
      <c r="B20" s="2"/>
      <c r="C20" s="2">
        <f t="shared" si="2"/>
        <v>1400</v>
      </c>
      <c r="D20" s="2">
        <f t="shared" si="1"/>
        <v>18</v>
      </c>
      <c r="G20" s="2">
        <v>23.2</v>
      </c>
      <c r="H20" s="2">
        <v>30.1</v>
      </c>
      <c r="I20" s="2">
        <v>35.299999999999997</v>
      </c>
    </row>
    <row r="21" spans="2:9" x14ac:dyDescent="0.25">
      <c r="B21" s="2"/>
      <c r="C21" s="2">
        <f t="shared" si="2"/>
        <v>1500</v>
      </c>
      <c r="D21" s="2">
        <f t="shared" si="1"/>
        <v>19</v>
      </c>
      <c r="G21" s="2">
        <v>22.3</v>
      </c>
      <c r="H21" s="2">
        <v>29.7</v>
      </c>
      <c r="I21" s="2">
        <v>35.1</v>
      </c>
    </row>
    <row r="22" spans="2:9" x14ac:dyDescent="0.25">
      <c r="B22" s="2"/>
      <c r="C22" s="2">
        <f t="shared" si="2"/>
        <v>1600</v>
      </c>
      <c r="D22" s="2">
        <f t="shared" si="1"/>
        <v>20</v>
      </c>
      <c r="G22" s="2">
        <v>20.9</v>
      </c>
      <c r="H22" s="2">
        <v>29.4</v>
      </c>
      <c r="I22" s="2">
        <v>34.9</v>
      </c>
    </row>
    <row r="23" spans="2:9" x14ac:dyDescent="0.25">
      <c r="B23" s="2"/>
      <c r="C23" s="2">
        <f t="shared" ref="C23:C35" si="3">C22+100</f>
        <v>1700</v>
      </c>
      <c r="D23" s="2">
        <f t="shared" si="1"/>
        <v>21</v>
      </c>
      <c r="H23" s="2">
        <v>29</v>
      </c>
      <c r="I23" s="2">
        <v>34.6</v>
      </c>
    </row>
    <row r="24" spans="2:9" x14ac:dyDescent="0.25">
      <c r="B24" s="2"/>
      <c r="C24" s="2">
        <f t="shared" si="3"/>
        <v>1800</v>
      </c>
      <c r="D24" s="2">
        <f t="shared" si="1"/>
        <v>22</v>
      </c>
      <c r="H24" s="2">
        <v>28.5</v>
      </c>
      <c r="I24" s="2">
        <v>34.4</v>
      </c>
    </row>
    <row r="25" spans="2:9" x14ac:dyDescent="0.25">
      <c r="B25" s="2"/>
      <c r="C25" s="2">
        <f t="shared" si="3"/>
        <v>1900</v>
      </c>
      <c r="D25" s="2">
        <f t="shared" si="1"/>
        <v>23</v>
      </c>
      <c r="H25" s="2">
        <v>28</v>
      </c>
      <c r="I25" s="2">
        <v>34.1</v>
      </c>
    </row>
    <row r="26" spans="2:9" x14ac:dyDescent="0.25">
      <c r="B26" s="2"/>
      <c r="C26" s="2">
        <f t="shared" si="3"/>
        <v>2000</v>
      </c>
      <c r="D26" s="2">
        <f t="shared" si="1"/>
        <v>24</v>
      </c>
      <c r="H26" s="2">
        <v>27.3</v>
      </c>
      <c r="I26" s="2">
        <v>33.799999999999997</v>
      </c>
    </row>
    <row r="27" spans="2:9" x14ac:dyDescent="0.25">
      <c r="B27" s="2"/>
      <c r="C27" s="2">
        <f t="shared" si="3"/>
        <v>2100</v>
      </c>
      <c r="D27" s="2">
        <f t="shared" si="1"/>
        <v>25</v>
      </c>
      <c r="H27" s="2">
        <v>26.5</v>
      </c>
      <c r="I27" s="2">
        <v>33.5</v>
      </c>
    </row>
    <row r="28" spans="2:9" x14ac:dyDescent="0.25">
      <c r="B28" s="2"/>
      <c r="C28" s="2">
        <f t="shared" si="3"/>
        <v>2200</v>
      </c>
      <c r="D28" s="2">
        <f t="shared" si="1"/>
        <v>26</v>
      </c>
      <c r="H28" s="2">
        <v>25.3</v>
      </c>
      <c r="I28" s="2">
        <v>33.1</v>
      </c>
    </row>
    <row r="29" spans="2:9" x14ac:dyDescent="0.25">
      <c r="B29" s="2"/>
      <c r="C29" s="2">
        <f t="shared" si="3"/>
        <v>2300</v>
      </c>
      <c r="D29" s="2">
        <f t="shared" si="1"/>
        <v>27</v>
      </c>
      <c r="H29" s="2">
        <v>22.7</v>
      </c>
      <c r="I29" s="2">
        <v>32.700000000000003</v>
      </c>
    </row>
    <row r="30" spans="2:9" x14ac:dyDescent="0.25">
      <c r="B30" s="2"/>
      <c r="C30" s="2">
        <f t="shared" si="3"/>
        <v>2400</v>
      </c>
      <c r="D30" s="2">
        <f t="shared" si="1"/>
        <v>28</v>
      </c>
      <c r="I30" s="2">
        <v>32.200000000000003</v>
      </c>
    </row>
    <row r="31" spans="2:9" x14ac:dyDescent="0.25">
      <c r="B31" s="2"/>
      <c r="C31" s="2">
        <f t="shared" si="3"/>
        <v>2500</v>
      </c>
      <c r="D31" s="2">
        <f t="shared" si="1"/>
        <v>29</v>
      </c>
      <c r="I31" s="2">
        <v>31.7</v>
      </c>
    </row>
    <row r="32" spans="2:9" x14ac:dyDescent="0.25">
      <c r="B32" s="2"/>
      <c r="C32" s="2">
        <f t="shared" si="3"/>
        <v>2600</v>
      </c>
      <c r="D32" s="2">
        <f t="shared" si="1"/>
        <v>30</v>
      </c>
      <c r="I32" s="2">
        <v>31</v>
      </c>
    </row>
    <row r="33" spans="2:9" x14ac:dyDescent="0.25">
      <c r="B33" s="2"/>
      <c r="C33" s="2">
        <f t="shared" si="3"/>
        <v>2700</v>
      </c>
      <c r="D33" s="2">
        <f t="shared" si="1"/>
        <v>31</v>
      </c>
      <c r="I33" s="2">
        <v>30.3</v>
      </c>
    </row>
    <row r="34" spans="2:9" x14ac:dyDescent="0.25">
      <c r="B34" s="2"/>
      <c r="C34" s="2">
        <f t="shared" si="3"/>
        <v>2800</v>
      </c>
      <c r="D34" s="2">
        <f t="shared" si="1"/>
        <v>32</v>
      </c>
      <c r="I34" s="2">
        <v>29.2</v>
      </c>
    </row>
    <row r="35" spans="2:9" x14ac:dyDescent="0.25">
      <c r="B35" s="2"/>
      <c r="C35" s="2">
        <f t="shared" si="3"/>
        <v>2900</v>
      </c>
      <c r="D35" s="2">
        <f t="shared" si="1"/>
        <v>33</v>
      </c>
      <c r="I35" s="2">
        <v>27.7</v>
      </c>
    </row>
    <row r="36" spans="2:9" x14ac:dyDescent="0.25">
      <c r="B36" s="2"/>
      <c r="C36" s="2"/>
      <c r="D36" s="2"/>
    </row>
    <row r="37" spans="2:9" x14ac:dyDescent="0.25">
      <c r="B37" s="2"/>
      <c r="C37" s="2"/>
      <c r="D37" s="2"/>
    </row>
    <row r="38" spans="2:9" x14ac:dyDescent="0.25">
      <c r="B38" s="2"/>
      <c r="C38" s="2"/>
      <c r="D38" s="2"/>
    </row>
    <row r="39" spans="2:9" x14ac:dyDescent="0.25">
      <c r="B39" s="2"/>
      <c r="C39" s="2"/>
      <c r="D39" s="2"/>
    </row>
    <row r="40" spans="2:9" x14ac:dyDescent="0.25">
      <c r="B40" s="2"/>
      <c r="C40" s="2"/>
      <c r="D40" s="2"/>
    </row>
    <row r="41" spans="2:9" x14ac:dyDescent="0.25">
      <c r="B41" s="2"/>
      <c r="C41" s="2"/>
      <c r="D41" s="2"/>
    </row>
    <row r="42" spans="2:9" x14ac:dyDescent="0.25">
      <c r="B42" s="2"/>
      <c r="C42" s="2"/>
      <c r="D42" s="2"/>
    </row>
    <row r="43" spans="2:9" x14ac:dyDescent="0.25">
      <c r="B43" s="2"/>
      <c r="C43" s="2"/>
      <c r="D43" s="2"/>
    </row>
    <row r="44" spans="2:9" x14ac:dyDescent="0.25">
      <c r="B44" s="2"/>
      <c r="C44" s="2"/>
      <c r="D44" s="2"/>
    </row>
    <row r="45" spans="2:9" x14ac:dyDescent="0.25">
      <c r="B45" s="2"/>
      <c r="C45" s="2"/>
      <c r="D45" s="2"/>
    </row>
    <row r="46" spans="2:9" x14ac:dyDescent="0.25">
      <c r="B46" s="2"/>
      <c r="C46" s="2"/>
      <c r="D46" s="2"/>
    </row>
    <row r="47" spans="2:9" x14ac:dyDescent="0.25">
      <c r="B47" s="2"/>
      <c r="C47" s="2"/>
      <c r="D47" s="2"/>
    </row>
    <row r="48" spans="2:9" x14ac:dyDescent="0.25">
      <c r="B48" s="2"/>
      <c r="C48" s="2"/>
      <c r="D48" s="2"/>
    </row>
    <row r="49" spans="2:4" x14ac:dyDescent="0.25">
      <c r="B49" s="2"/>
      <c r="C49" s="2"/>
      <c r="D49" s="2"/>
    </row>
    <row r="50" spans="2:4" x14ac:dyDescent="0.25">
      <c r="B50" s="2"/>
      <c r="C50" s="2"/>
      <c r="D50" s="2"/>
    </row>
    <row r="51" spans="2:4" x14ac:dyDescent="0.25">
      <c r="B51" s="2"/>
      <c r="C51" s="2"/>
      <c r="D51" s="2"/>
    </row>
    <row r="52" spans="2:4" x14ac:dyDescent="0.25">
      <c r="B52" s="2"/>
      <c r="C52" s="2"/>
      <c r="D52" s="2"/>
    </row>
    <row r="53" spans="2:4" x14ac:dyDescent="0.25">
      <c r="B53" s="2"/>
      <c r="C53" s="2"/>
      <c r="D53" s="2"/>
    </row>
    <row r="54" spans="2:4" x14ac:dyDescent="0.25">
      <c r="B54" s="2"/>
      <c r="C54" s="2"/>
      <c r="D54" s="2"/>
    </row>
    <row r="55" spans="2:4" x14ac:dyDescent="0.25">
      <c r="B55" s="2"/>
      <c r="C55" s="2"/>
      <c r="D55" s="2"/>
    </row>
    <row r="56" spans="2:4" x14ac:dyDescent="0.25">
      <c r="B56" s="2"/>
      <c r="C56" s="2"/>
      <c r="D56" s="2"/>
    </row>
    <row r="57" spans="2:4" x14ac:dyDescent="0.25">
      <c r="B57" s="2"/>
      <c r="C57" s="2"/>
      <c r="D57" s="2"/>
    </row>
    <row r="58" spans="2:4" x14ac:dyDescent="0.25">
      <c r="B58" s="2"/>
      <c r="C58" s="2"/>
      <c r="D58" s="2"/>
    </row>
    <row r="59" spans="2:4" x14ac:dyDescent="0.25">
      <c r="B59" s="2"/>
      <c r="C59" s="2"/>
      <c r="D59" s="2"/>
    </row>
    <row r="60" spans="2:4" x14ac:dyDescent="0.25">
      <c r="B60" s="2"/>
      <c r="C60" s="2"/>
      <c r="D60" s="2"/>
    </row>
    <row r="61" spans="2:4" x14ac:dyDescent="0.25">
      <c r="B61" s="2"/>
      <c r="C61" s="2"/>
      <c r="D61" s="2"/>
    </row>
    <row r="62" spans="2:4" x14ac:dyDescent="0.25">
      <c r="B62" s="2"/>
      <c r="C62" s="2"/>
      <c r="D62" s="2"/>
    </row>
    <row r="63" spans="2:4" x14ac:dyDescent="0.25">
      <c r="B63" s="2"/>
      <c r="C63" s="2"/>
      <c r="D63" s="2"/>
    </row>
    <row r="64" spans="2:4" x14ac:dyDescent="0.25">
      <c r="B64" s="2"/>
      <c r="C64" s="2"/>
      <c r="D64" s="2"/>
    </row>
    <row r="65" spans="2:4" x14ac:dyDescent="0.25">
      <c r="B65" s="2"/>
      <c r="C65" s="2"/>
      <c r="D65" s="2"/>
    </row>
    <row r="66" spans="2:4" x14ac:dyDescent="0.25">
      <c r="B66" s="2"/>
      <c r="C66" s="2"/>
      <c r="D66" s="2"/>
    </row>
    <row r="67" spans="2:4" x14ac:dyDescent="0.25">
      <c r="B67" s="2"/>
      <c r="C67" s="2"/>
      <c r="D67" s="2"/>
    </row>
    <row r="68" spans="2:4" x14ac:dyDescent="0.25">
      <c r="B68" s="2"/>
      <c r="C68" s="2"/>
      <c r="D68" s="2"/>
    </row>
    <row r="69" spans="2:4" x14ac:dyDescent="0.25">
      <c r="B69" s="2"/>
      <c r="C69" s="2"/>
      <c r="D69" s="2"/>
    </row>
    <row r="70" spans="2:4" x14ac:dyDescent="0.25">
      <c r="B70" s="2"/>
      <c r="C70" s="2"/>
      <c r="D70" s="2"/>
    </row>
    <row r="71" spans="2:4" x14ac:dyDescent="0.25">
      <c r="B71" s="2"/>
      <c r="C71" s="2"/>
      <c r="D71" s="2"/>
    </row>
    <row r="72" spans="2:4" x14ac:dyDescent="0.25">
      <c r="B72" s="2"/>
      <c r="C72" s="2"/>
      <c r="D72" s="2"/>
    </row>
    <row r="73" spans="2:4" x14ac:dyDescent="0.25">
      <c r="B73" s="2"/>
      <c r="C73" s="2"/>
      <c r="D73" s="2"/>
    </row>
    <row r="74" spans="2:4" x14ac:dyDescent="0.25">
      <c r="B74" s="2"/>
      <c r="C74" s="2"/>
      <c r="D74" s="2"/>
    </row>
    <row r="75" spans="2:4" x14ac:dyDescent="0.25">
      <c r="B75" s="2"/>
      <c r="C75" s="2"/>
      <c r="D75" s="2"/>
    </row>
    <row r="76" spans="2:4" x14ac:dyDescent="0.25">
      <c r="B76" s="2"/>
      <c r="C76" s="2"/>
      <c r="D76" s="2"/>
    </row>
    <row r="77" spans="2:4" x14ac:dyDescent="0.25">
      <c r="B77" s="2"/>
      <c r="C77" s="2"/>
      <c r="D77" s="2"/>
    </row>
    <row r="78" spans="2:4" x14ac:dyDescent="0.25">
      <c r="B78" s="2"/>
      <c r="C78" s="2"/>
      <c r="D78" s="2"/>
    </row>
    <row r="79" spans="2:4" x14ac:dyDescent="0.25">
      <c r="B79" s="2"/>
      <c r="C79" s="2"/>
      <c r="D79" s="2"/>
    </row>
    <row r="80" spans="2:4" x14ac:dyDescent="0.25">
      <c r="B80" s="2"/>
      <c r="C80" s="2"/>
      <c r="D80" s="2"/>
    </row>
    <row r="81" spans="2:4" x14ac:dyDescent="0.25">
      <c r="B81" s="2"/>
      <c r="C81" s="2"/>
      <c r="D81" s="2"/>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5869-B43C-4FF4-8C2C-554E2BF40EA4}">
  <sheetPr codeName="Tabelle1"/>
  <dimension ref="C1:DG400"/>
  <sheetViews>
    <sheetView topLeftCell="L1" zoomScale="55" zoomScaleNormal="55" workbookViewId="0">
      <selection activeCell="AT44" sqref="AT44"/>
    </sheetView>
  </sheetViews>
  <sheetFormatPr baseColWidth="10" defaultRowHeight="15" x14ac:dyDescent="0.25"/>
  <cols>
    <col min="4" max="18" width="11.42578125" style="2"/>
    <col min="19" max="28" width="7.5703125" style="2" customWidth="1"/>
    <col min="29" max="29" width="11.42578125" style="2"/>
    <col min="30" max="30" width="11.42578125" style="5"/>
    <col min="31" max="31" width="8.5703125" style="2" customWidth="1"/>
    <col min="32" max="39" width="8" style="2" customWidth="1"/>
    <col min="40" max="40" width="11.42578125" style="2"/>
    <col min="42" max="53" width="6.5703125" customWidth="1"/>
    <col min="54" max="54" width="8.28515625" customWidth="1"/>
    <col min="55" max="111" width="6.5703125" customWidth="1"/>
  </cols>
  <sheetData>
    <row r="1" spans="6:111" x14ac:dyDescent="0.25">
      <c r="S1" s="2" t="s">
        <v>52</v>
      </c>
    </row>
    <row r="2" spans="6:111" x14ac:dyDescent="0.25">
      <c r="H2" s="90" t="s">
        <v>54</v>
      </c>
      <c r="I2" s="90"/>
      <c r="J2" s="90"/>
      <c r="K2" s="90"/>
      <c r="L2" s="90"/>
      <c r="M2" s="90"/>
      <c r="N2" s="90"/>
      <c r="O2" s="90"/>
      <c r="P2" s="90"/>
      <c r="Q2" s="90"/>
      <c r="S2" s="90"/>
      <c r="T2" s="90"/>
      <c r="U2" s="90"/>
      <c r="V2" s="90"/>
      <c r="W2" s="90"/>
      <c r="X2" s="90"/>
      <c r="Y2" s="90"/>
      <c r="Z2" s="90"/>
      <c r="AA2" s="90"/>
      <c r="AB2" s="90"/>
      <c r="AO2" s="43"/>
      <c r="AP2" s="87" t="s">
        <v>40</v>
      </c>
      <c r="AQ2" s="88"/>
      <c r="AR2" s="88"/>
      <c r="AS2" s="88"/>
      <c r="AT2" s="88"/>
      <c r="AU2" s="88"/>
      <c r="AV2" s="89"/>
      <c r="AW2" s="87" t="s">
        <v>41</v>
      </c>
      <c r="AX2" s="88"/>
      <c r="AY2" s="88"/>
      <c r="AZ2" s="88"/>
      <c r="BA2" s="88"/>
      <c r="BB2" s="88"/>
      <c r="BC2" s="89"/>
      <c r="BD2" s="87" t="s">
        <v>42</v>
      </c>
      <c r="BE2" s="88"/>
      <c r="BF2" s="88"/>
      <c r="BG2" s="88"/>
      <c r="BH2" s="88"/>
      <c r="BI2" s="88"/>
      <c r="BJ2" s="89"/>
      <c r="BK2" s="87" t="s">
        <v>43</v>
      </c>
      <c r="BL2" s="88"/>
      <c r="BM2" s="88"/>
      <c r="BN2" s="88"/>
      <c r="BO2" s="88"/>
      <c r="BP2" s="88"/>
      <c r="BQ2" s="89"/>
      <c r="BR2" s="87" t="s">
        <v>44</v>
      </c>
      <c r="BS2" s="88"/>
      <c r="BT2" s="88"/>
      <c r="BU2" s="88"/>
      <c r="BV2" s="88"/>
      <c r="BW2" s="88"/>
      <c r="BX2" s="89"/>
      <c r="BY2" s="87" t="s">
        <v>45</v>
      </c>
      <c r="BZ2" s="88"/>
      <c r="CA2" s="88"/>
      <c r="CB2" s="88"/>
      <c r="CC2" s="88"/>
      <c r="CD2" s="88"/>
      <c r="CE2" s="89"/>
      <c r="CF2" s="87" t="s">
        <v>46</v>
      </c>
      <c r="CG2" s="88"/>
      <c r="CH2" s="88"/>
      <c r="CI2" s="88"/>
      <c r="CJ2" s="88"/>
      <c r="CK2" s="88"/>
      <c r="CL2" s="89"/>
      <c r="CM2" s="87" t="s">
        <v>47</v>
      </c>
      <c r="CN2" s="88"/>
      <c r="CO2" s="88"/>
      <c r="CP2" s="88"/>
      <c r="CQ2" s="88"/>
      <c r="CR2" s="88"/>
      <c r="CS2" s="89"/>
      <c r="CT2" s="87" t="s">
        <v>48</v>
      </c>
      <c r="CU2" s="88"/>
      <c r="CV2" s="88"/>
      <c r="CW2" s="88"/>
      <c r="CX2" s="88"/>
      <c r="CY2" s="88"/>
      <c r="CZ2" s="89"/>
      <c r="DA2" s="87" t="s">
        <v>49</v>
      </c>
      <c r="DB2" s="88"/>
      <c r="DC2" s="88"/>
      <c r="DD2" s="88"/>
      <c r="DE2" s="88"/>
      <c r="DF2" s="88"/>
      <c r="DG2" s="89"/>
    </row>
    <row r="3" spans="6:111" x14ac:dyDescent="0.25">
      <c r="H3" s="5" t="s">
        <v>40</v>
      </c>
      <c r="I3" s="5" t="s">
        <v>41</v>
      </c>
      <c r="J3" s="5" t="s">
        <v>42</v>
      </c>
      <c r="K3" s="5" t="s">
        <v>43</v>
      </c>
      <c r="L3" s="5" t="s">
        <v>44</v>
      </c>
      <c r="M3" s="5" t="s">
        <v>45</v>
      </c>
      <c r="N3" s="5" t="s">
        <v>46</v>
      </c>
      <c r="O3" s="5" t="s">
        <v>47</v>
      </c>
      <c r="P3" s="5" t="s">
        <v>48</v>
      </c>
      <c r="Q3" s="5" t="s">
        <v>49</v>
      </c>
      <c r="S3" s="5" t="s">
        <v>40</v>
      </c>
      <c r="T3" s="5" t="s">
        <v>41</v>
      </c>
      <c r="U3" s="5" t="s">
        <v>42</v>
      </c>
      <c r="V3" s="5" t="s">
        <v>43</v>
      </c>
      <c r="W3" s="5" t="s">
        <v>44</v>
      </c>
      <c r="X3" s="5" t="s">
        <v>45</v>
      </c>
      <c r="Y3" s="5" t="s">
        <v>46</v>
      </c>
      <c r="Z3" s="5" t="s">
        <v>47</v>
      </c>
      <c r="AA3" s="5" t="s">
        <v>48</v>
      </c>
      <c r="AB3" s="5" t="s">
        <v>49</v>
      </c>
      <c r="AD3" s="2" t="s">
        <v>2</v>
      </c>
      <c r="AE3" s="2" t="s">
        <v>3</v>
      </c>
      <c r="AF3" s="2" t="s">
        <v>4</v>
      </c>
      <c r="AG3" s="2" t="s">
        <v>5</v>
      </c>
      <c r="AH3" s="2" t="s">
        <v>6</v>
      </c>
      <c r="AI3" s="2" t="s">
        <v>7</v>
      </c>
      <c r="AO3" s="44"/>
      <c r="AP3" s="36" t="s">
        <v>51</v>
      </c>
      <c r="AQ3" t="s">
        <v>39</v>
      </c>
      <c r="AR3" t="s">
        <v>55</v>
      </c>
      <c r="AS3" t="s">
        <v>56</v>
      </c>
      <c r="AT3" t="s">
        <v>57</v>
      </c>
      <c r="AU3" t="s">
        <v>58</v>
      </c>
      <c r="AV3" s="37" t="s">
        <v>59</v>
      </c>
      <c r="AW3" s="36" t="s">
        <v>51</v>
      </c>
      <c r="AX3" t="s">
        <v>39</v>
      </c>
      <c r="AY3" t="s">
        <v>55</v>
      </c>
      <c r="AZ3" t="s">
        <v>56</v>
      </c>
      <c r="BA3" t="s">
        <v>57</v>
      </c>
      <c r="BB3" t="s">
        <v>58</v>
      </c>
      <c r="BC3" s="37" t="s">
        <v>59</v>
      </c>
      <c r="BD3" s="36" t="s">
        <v>51</v>
      </c>
      <c r="BE3" t="s">
        <v>39</v>
      </c>
      <c r="BF3" t="s">
        <v>55</v>
      </c>
      <c r="BG3" t="s">
        <v>56</v>
      </c>
      <c r="BH3" t="s">
        <v>57</v>
      </c>
      <c r="BI3" t="s">
        <v>58</v>
      </c>
      <c r="BJ3" s="37" t="s">
        <v>59</v>
      </c>
      <c r="BK3" s="36" t="s">
        <v>51</v>
      </c>
      <c r="BL3" t="s">
        <v>39</v>
      </c>
      <c r="BM3" t="s">
        <v>55</v>
      </c>
      <c r="BN3" t="s">
        <v>56</v>
      </c>
      <c r="BO3" t="s">
        <v>57</v>
      </c>
      <c r="BP3" t="s">
        <v>58</v>
      </c>
      <c r="BQ3" s="37" t="s">
        <v>59</v>
      </c>
      <c r="BR3" s="36" t="s">
        <v>51</v>
      </c>
      <c r="BS3" t="s">
        <v>39</v>
      </c>
      <c r="BT3" t="s">
        <v>55</v>
      </c>
      <c r="BU3" t="s">
        <v>56</v>
      </c>
      <c r="BV3" t="s">
        <v>57</v>
      </c>
      <c r="BW3" t="s">
        <v>58</v>
      </c>
      <c r="BX3" s="37" t="s">
        <v>59</v>
      </c>
      <c r="BY3" s="36" t="s">
        <v>51</v>
      </c>
      <c r="BZ3" t="s">
        <v>39</v>
      </c>
      <c r="CA3" t="s">
        <v>55</v>
      </c>
      <c r="CB3" t="s">
        <v>56</v>
      </c>
      <c r="CC3" t="s">
        <v>57</v>
      </c>
      <c r="CD3" t="s">
        <v>58</v>
      </c>
      <c r="CE3" s="37" t="s">
        <v>59</v>
      </c>
      <c r="CF3" s="36" t="s">
        <v>51</v>
      </c>
      <c r="CG3" t="s">
        <v>39</v>
      </c>
      <c r="CH3" t="s">
        <v>55</v>
      </c>
      <c r="CI3" t="s">
        <v>56</v>
      </c>
      <c r="CJ3" t="s">
        <v>57</v>
      </c>
      <c r="CK3" t="s">
        <v>58</v>
      </c>
      <c r="CL3" s="37" t="s">
        <v>59</v>
      </c>
      <c r="CM3" s="36" t="s">
        <v>51</v>
      </c>
      <c r="CN3" t="s">
        <v>39</v>
      </c>
      <c r="CO3" t="s">
        <v>55</v>
      </c>
      <c r="CP3" t="s">
        <v>56</v>
      </c>
      <c r="CQ3" t="s">
        <v>57</v>
      </c>
      <c r="CR3" t="s">
        <v>58</v>
      </c>
      <c r="CS3" s="37" t="s">
        <v>59</v>
      </c>
      <c r="CT3" s="36" t="s">
        <v>51</v>
      </c>
      <c r="CU3" t="s">
        <v>39</v>
      </c>
      <c r="CV3" t="s">
        <v>55</v>
      </c>
      <c r="CW3" t="s">
        <v>56</v>
      </c>
      <c r="CX3" t="s">
        <v>57</v>
      </c>
      <c r="CY3" t="s">
        <v>58</v>
      </c>
      <c r="CZ3" s="37" t="s">
        <v>59</v>
      </c>
      <c r="DA3" s="36" t="s">
        <v>51</v>
      </c>
      <c r="DB3" t="s">
        <v>39</v>
      </c>
      <c r="DC3" t="s">
        <v>55</v>
      </c>
      <c r="DD3" t="s">
        <v>56</v>
      </c>
      <c r="DE3" t="s">
        <v>57</v>
      </c>
      <c r="DF3" t="s">
        <v>58</v>
      </c>
      <c r="DG3" s="37" t="s">
        <v>59</v>
      </c>
    </row>
    <row r="4" spans="6:111" x14ac:dyDescent="0.25">
      <c r="F4" s="2" t="s">
        <v>10</v>
      </c>
      <c r="G4" s="2">
        <v>0</v>
      </c>
      <c r="H4" s="35">
        <f>Koordinaten!$E$14</f>
        <v>2304.3654224102565</v>
      </c>
      <c r="I4" s="35">
        <f>Tabelle1!$AY$4</f>
        <v>2300.5434140654684</v>
      </c>
      <c r="J4" s="35">
        <f>Tabelle1!$BF$4</f>
        <v>2296.8892006363735</v>
      </c>
      <c r="K4" s="35">
        <f>Tabelle1!$BM$4</f>
        <v>2293.4035841953332</v>
      </c>
      <c r="L4" s="35">
        <f>Tabelle1!$BT$4</f>
        <v>2290.0873345791861</v>
      </c>
      <c r="M4" s="35">
        <f>Tabelle1!$CA$4</f>
        <v>2286.9411885748177</v>
      </c>
      <c r="N4" s="35">
        <f>Tabelle1!$CH$4</f>
        <v>2283.9658491317246</v>
      </c>
      <c r="O4" s="35">
        <f>Tabelle1!$CO$4</f>
        <v>2281.161984603461</v>
      </c>
      <c r="P4" s="35">
        <f>Tabelle1!$CV$4</f>
        <v>2278.5302280198084</v>
      </c>
      <c r="Q4" s="35">
        <f>Tabelle1!$DC$4</f>
        <v>2276.0711763914592</v>
      </c>
      <c r="R4" s="7" t="str">
        <f>IF(H4&gt;400, "n.M.",S4)</f>
        <v>n.M.</v>
      </c>
      <c r="S4" s="6">
        <f>$AG$4*H4^4+$AF$4*H4^3+$AE$4*H4^2+$AD$4*H4+$AC$4</f>
        <v>-1032061.1311317163</v>
      </c>
      <c r="T4" s="6">
        <f>$AG$4*I4^4+$AF$4*I4^3+$AE$4*I4^2+$AD$4*I4+$AC$4</f>
        <v>-1024680.1717477172</v>
      </c>
      <c r="U4" s="6">
        <f t="shared" ref="U4:AB4" si="0">$AG$4*J4^4+$AF$4*J4^3+$AE$4*J4^2+$AD$4*J4+$AC$4</f>
        <v>-1017660.3397441931</v>
      </c>
      <c r="V4" s="6">
        <f t="shared" si="0"/>
        <v>-1010998.0542248669</v>
      </c>
      <c r="W4" s="6">
        <f t="shared" si="0"/>
        <v>-1004689.9059183272</v>
      </c>
      <c r="X4" s="6">
        <f t="shared" si="0"/>
        <v>-998732.65702256362</v>
      </c>
      <c r="Y4" s="6">
        <f t="shared" si="0"/>
        <v>-993123.24105572002</v>
      </c>
      <c r="Z4" s="6">
        <f t="shared" si="0"/>
        <v>-987858.76271329797</v>
      </c>
      <c r="AA4" s="6">
        <f t="shared" si="0"/>
        <v>-982936.49773202813</v>
      </c>
      <c r="AB4" s="6">
        <f t="shared" si="0"/>
        <v>-978353.892760608</v>
      </c>
      <c r="AC4" s="4">
        <v>1574.89</v>
      </c>
      <c r="AD4" s="4">
        <f>-0.348741</f>
        <v>-0.34874100000000002</v>
      </c>
      <c r="AE4" s="4">
        <f>-0.00885985</f>
        <v>-8.8598500000000007E-3</v>
      </c>
      <c r="AF4" s="4">
        <v>3.4656600000000003E-5</v>
      </c>
      <c r="AG4" s="4">
        <f>-0.00000005</f>
        <v>-4.9999999999999998E-8</v>
      </c>
      <c r="AN4" s="2">
        <v>1</v>
      </c>
      <c r="AO4" s="44" t="s">
        <v>32</v>
      </c>
      <c r="AP4" s="42">
        <f>Koordinaten!$E$5</f>
        <v>707</v>
      </c>
      <c r="AQ4" s="35">
        <f>Koordinaten!$E$6</f>
        <v>428</v>
      </c>
      <c r="AR4" s="35">
        <f>((Koordinaten!$D$5-AP4)^2+(Koordinaten!$D$6-AQ4)^2)^(1/2)*10</f>
        <v>2304.3654224102565</v>
      </c>
      <c r="AS4" s="35">
        <f>VLOOKUP(Koordinaten!$E$12,Tabelle1!$G$4:$AB$8,13,FALSE)</f>
        <v>1134.6016305128551</v>
      </c>
      <c r="AT4" s="35">
        <f>IF((Koordinaten!$D$7-Koordinaten!$E$7)&gt;0,AS4+Koordinaten!$E$16,AS4-Koordinaten!$E$16)</f>
        <v>1125.4879637898239</v>
      </c>
      <c r="AU4" s="48">
        <f>IF((Koordinaten!$F$6-AQ4)&lt;0,IF((Koordinaten!$F$5-AP4)&gt;0,360+(ATAN((Koordinaten!$F$5-AP4)/(Koordinaten!$F$6-AQ4))*180/PI()),IF((Koordinaten!$F$5-AP4)&lt;0,0+(ATAN((Koordinaten!$F$5-AP4)/(Koordinaten!$F$6-AQ4))*180/PI()))),IF((Koordinaten!$F$5-AP4)&lt;0,180+(ATAN((Koordinaten!$F$5-AP4)/(Koordinaten!$F$6-AQ4))*180/PI()),180+(ATAN((Koordinaten!$F$5-AP4)/(Koordinaten!$F$6-AQ4))*180/PI())))</f>
        <v>101.26117012025017</v>
      </c>
      <c r="AV4" s="38">
        <f>AU4/360*6400</f>
        <v>1800.1985799155586</v>
      </c>
      <c r="AW4" s="42">
        <f>AP4</f>
        <v>707</v>
      </c>
      <c r="AX4" s="35">
        <f>AQ4+2</f>
        <v>430</v>
      </c>
      <c r="AY4" s="35">
        <f>((Koordinaten!$D$5-AW4)^2+(Koordinaten!$D$6-AX4)^2)^(1/2)*10</f>
        <v>2300.5434140654684</v>
      </c>
      <c r="AZ4" s="35">
        <f>VLOOKUP(Koordinaten!$E$12,Tabelle1!$G$4:$AB$8,14,FALSE)</f>
        <v>1135.6958837596017</v>
      </c>
      <c r="BA4" s="35">
        <f>IF((Koordinaten!$D$7-Koordinaten!$E$7)&gt;0,AZ4+Koordinaten!$E$16,AZ4-Koordinaten!$E$16)</f>
        <v>1126.5822170365705</v>
      </c>
      <c r="BB4" s="48">
        <f>IF((Koordinaten!$F$6-AX4)&lt;0,IF((Koordinaten!$F$5-AW4)&gt;0,360+(ATAN((Koordinaten!$F$5-AW4)/(Koordinaten!$F$6-AX4))*180/PI()),IF((Koordinaten!$F$5-AW4)&lt;0,0+(ATAN((Koordinaten!$F$5-AW4)/(Koordinaten!$F$6-AX4))*180/PI()))),IF((Koordinaten!$F$5-AW4)&lt;0,180+(ATAN((Koordinaten!$F$5-AW4)/(Koordinaten!$F$6-AX4))*180/PI()),180+(ATAN((Koordinaten!$F$5-AW4)/(Koordinaten!$F$6-AX4))*180/PI())))</f>
        <v>100.7726476482207</v>
      </c>
      <c r="BC4" s="38">
        <f>BB4/360*6400</f>
        <v>1791.5137359683679</v>
      </c>
      <c r="BD4" s="42">
        <f>AW4</f>
        <v>707</v>
      </c>
      <c r="BE4" s="35">
        <f>AX4+2</f>
        <v>432</v>
      </c>
      <c r="BF4" s="35">
        <f>((Koordinaten!$D$5-BD4)^2+(Koordinaten!$D$6-BE4)^2)^(1/2)*10</f>
        <v>2296.8892006363735</v>
      </c>
      <c r="BG4" s="35">
        <f>VLOOKUP(Koordinaten!$E$12,Tabelle1!$G$4:$AB$8,15,FALSE)</f>
        <v>1136.7385730837686</v>
      </c>
      <c r="BH4" s="35">
        <f>IF((Koordinaten!$D$7-Koordinaten!$E$7)&gt;0,BG4+Koordinaten!$E$16,BG4-Koordinaten!$E$16)</f>
        <v>1127.6249063607374</v>
      </c>
      <c r="BI4" s="48">
        <f>IF((Koordinaten!$F$6-BE4)&lt;0,IF((Koordinaten!$F$5-BD4)&gt;0,360+(ATAN((Koordinaten!$F$5-BD4)/(Koordinaten!$F$6-BE4))*180/PI()),IF((Koordinaten!$F$5-BD4)&lt;0,0+(ATAN((Koordinaten!$F$5-BD4)/(Koordinaten!$F$6-BE4))*180/PI()))),IF((Koordinaten!$F$5-BD4)&lt;0,180+(ATAN((Koordinaten!$F$5-BD4)/(Koordinaten!$F$6-BE4))*180/PI()),180+(ATAN((Koordinaten!$F$5-BD4)/(Koordinaten!$F$6-BE4))*180/PI())))</f>
        <v>100.28253502927343</v>
      </c>
      <c r="BJ4" s="38">
        <f>BI4/360*6400</f>
        <v>1782.800622742639</v>
      </c>
      <c r="BK4" s="42">
        <f>BD4</f>
        <v>707</v>
      </c>
      <c r="BL4" s="35">
        <f>BE4+2</f>
        <v>434</v>
      </c>
      <c r="BM4" s="35">
        <f>((Koordinaten!$D$5-BK4)^2+(Koordinaten!$D$6-BL4)^2)^(1/2)*10</f>
        <v>2293.4035841953332</v>
      </c>
      <c r="BN4" s="35">
        <f>VLOOKUP(Koordinaten!$E$12,Tabelle1!$G$4:$AB$8,16,FALSE)</f>
        <v>1137.7299839115526</v>
      </c>
      <c r="BO4" s="35">
        <f>IF((Koordinaten!$D$7-Koordinaten!$E$7)&gt;0,BN4+Koordinaten!$E$16,BN4-Koordinaten!$E$16)</f>
        <v>1128.6163171885214</v>
      </c>
      <c r="BP4" s="48">
        <f>IF((Koordinaten!$F$6-BL4)&lt;0,IF((Koordinaten!$F$5-BK4)&gt;0,360+(ATAN((Koordinaten!$F$5-BK4)/(Koordinaten!$F$6-BL4))*180/PI()),IF((Koordinaten!$F$5-BK4)&lt;0,0+(ATAN((Koordinaten!$F$5-BK4)/(Koordinaten!$F$6-BL4))*180/PI()))),IF((Koordinaten!$F$5-BK4)&lt;0,180+(ATAN((Koordinaten!$F$5-BK4)/(Koordinaten!$F$6-BL4))*180/PI()),180+(ATAN((Koordinaten!$F$5-BK4)/(Koordinaten!$F$6-BL4))*180/PI())))</f>
        <v>99.790896553083599</v>
      </c>
      <c r="BQ4" s="38">
        <f>BP4/360*6400</f>
        <v>1774.0603831659307</v>
      </c>
      <c r="BR4" s="42">
        <f>BK4</f>
        <v>707</v>
      </c>
      <c r="BS4" s="35">
        <f>BL4+2</f>
        <v>436</v>
      </c>
      <c r="BT4" s="35">
        <f>((Koordinaten!$D$5-BR4)^2+(Koordinaten!$D$6-BS4)^2)^(1/2)*10</f>
        <v>2290.0873345791861</v>
      </c>
      <c r="BU4" s="35">
        <f>VLOOKUP(Koordinaten!$E$12,Tabelle1!$G$4:$AB$8,17,FALSE)</f>
        <v>1138.6703807186213</v>
      </c>
      <c r="BV4" s="35">
        <f>IF((Koordinaten!$D$7-Koordinaten!$E$7)&gt;0,BU4+Koordinaten!$E$16,BU4-Koordinaten!$E$16)</f>
        <v>1129.5567139955901</v>
      </c>
      <c r="BW4" s="48">
        <f>IF((Koordinaten!$F$6-BS4)&lt;0,IF((Koordinaten!$F$5-BR4)&gt;0,360+(ATAN((Koordinaten!$F$5-BR4)/(Koordinaten!$F$6-BS4))*180/PI()),IF((Koordinaten!$F$5-BR4)&lt;0,0+(ATAN((Koordinaten!$F$5-BR4)/(Koordinaten!$F$6-BS4))*180/PI()))),IF((Koordinaten!$F$5-BR4)&lt;0,180+(ATAN((Koordinaten!$F$5-BR4)/(Koordinaten!$F$6-BS4))*180/PI()),180+(ATAN((Koordinaten!$F$5-BR4)/(Koordinaten!$F$6-BS4))*180/PI())))</f>
        <v>99.297797808783301</v>
      </c>
      <c r="BX4" s="38">
        <f>BW4/360*6400</f>
        <v>1765.2941832672586</v>
      </c>
      <c r="BY4" s="42">
        <f>BR4</f>
        <v>707</v>
      </c>
      <c r="BZ4" s="35">
        <f>BS4+2</f>
        <v>438</v>
      </c>
      <c r="CA4" s="35">
        <f>((Koordinaten!$D$5-BY4)^2+(Koordinaten!$D$6-BZ4)^2)^(1/2)*10</f>
        <v>2286.9411885748177</v>
      </c>
      <c r="CB4" s="35">
        <f>VLOOKUP(Koordinaten!$E$12,Tabelle1!$G$4:$AB$8,18,FALSE)</f>
        <v>1139.5600081190446</v>
      </c>
      <c r="CC4" s="35">
        <f>IF((Koordinaten!$D$7-Koordinaten!$E$7)&gt;0,CB4+Koordinaten!$E$16,CB4-Koordinaten!$E$16)</f>
        <v>1130.4463413960134</v>
      </c>
      <c r="CD4" s="48">
        <f>IF((Koordinaten!$F$6-BZ4)&lt;0,IF((Koordinaten!$F$5-BY4)&gt;0,360+(ATAN((Koordinaten!$F$5-BY4)/(Koordinaten!$F$6-BZ4))*180/PI()),IF((Koordinaten!$F$5-BY4)&lt;0,0+(ATAN((Koordinaten!$F$5-BY4)/(Koordinaten!$F$6-BZ4))*180/PI()))),IF((Koordinaten!$F$5-BY4)&lt;0,180+(ATAN((Koordinaten!$F$5-BY4)/(Koordinaten!$F$6-BZ4))*180/PI()),180+(ATAN((Koordinaten!$F$5-BY4)/(Koordinaten!$F$6-BZ4))*180/PI())))</f>
        <v>98.803305640729363</v>
      </c>
      <c r="CE4" s="38">
        <f>CD4/360*6400</f>
        <v>1756.5032113907441</v>
      </c>
      <c r="CF4" s="42">
        <f>BY4</f>
        <v>707</v>
      </c>
      <c r="CG4" s="35">
        <f>BZ4+2</f>
        <v>440</v>
      </c>
      <c r="CH4" s="35">
        <f>((Koordinaten!$D$5-CF4)^2+(Koordinaten!$D$6-CG4)^2)^(1/2)*10</f>
        <v>2283.9658491317246</v>
      </c>
      <c r="CI4" s="35">
        <f>VLOOKUP(Koordinaten!$E$12,Tabelle1!$G$4:$AB$8,19,FALSE)</f>
        <v>1140.399091896883</v>
      </c>
      <c r="CJ4" s="35">
        <f>IF((Koordinaten!$D$7-Koordinaten!$E$7)&gt;0,CI4+Koordinaten!$E$16,CI4-Koordinaten!$E$16)</f>
        <v>1131.2854251738518</v>
      </c>
      <c r="CK4" s="48">
        <f>IF((Koordinaten!$F$6-CG4)&lt;0,IF((Koordinaten!$F$5-CF4)&gt;0,360+(ATAN((Koordinaten!$F$5-CF4)/(Koordinaten!$F$6-CG4))*180/PI()),IF((Koordinaten!$F$5-CF4)&lt;0,0+(ATAN((Koordinaten!$F$5-CF4)/(Koordinaten!$F$6-CG4))*180/PI()))),IF((Koordinaten!$F$5-CF4)&lt;0,180+(ATAN((Koordinaten!$F$5-CF4)/(Koordinaten!$F$6-CG4))*180/PI()),180+(ATAN((Koordinaten!$F$5-CF4)/(Koordinaten!$F$6-CG4))*180/PI())))</f>
        <v>98.307488101688236</v>
      </c>
      <c r="CL4" s="38">
        <f>CK4/360*6400</f>
        <v>1747.6886773633464</v>
      </c>
      <c r="CM4" s="42">
        <f>CF4</f>
        <v>707</v>
      </c>
      <c r="CN4" s="35">
        <f>CG4+2</f>
        <v>442</v>
      </c>
      <c r="CO4" s="35">
        <f>((Koordinaten!$D$5-CM4)^2+(Koordinaten!$D$6-CN4)^2)^(1/2)*10</f>
        <v>2281.161984603461</v>
      </c>
      <c r="CP4" s="35">
        <f>VLOOKUP(Koordinaten!$E$12,Tabelle1!$G$4:$AB$8,20,FALSE)</f>
        <v>1141.1878399808518</v>
      </c>
      <c r="CQ4" s="35">
        <f>IF((Koordinaten!$D$7-Koordinaten!$E$7)&gt;0,CP4+Koordinaten!$E$16,CP4-Koordinaten!$E$16)</f>
        <v>1132.0741732578206</v>
      </c>
      <c r="CR4" s="48">
        <f>IF((Koordinaten!$F$6-CN4)&lt;0,IF((Koordinaten!$F$5-CM4)&gt;0,360+(ATAN((Koordinaten!$F$5-CM4)/(Koordinaten!$F$6-CN4))*180/PI()),IF((Koordinaten!$F$5-CM4)&lt;0,0+(ATAN((Koordinaten!$F$5-CM4)/(Koordinaten!$F$6-CN4))*180/PI()))),IF((Koordinaten!$F$5-CM4)&lt;0,180+(ATAN((Koordinaten!$F$5-CM4)/(Koordinaten!$F$6-CN4))*180/PI()),180+(ATAN((Koordinaten!$F$5-CM4)/(Koordinaten!$F$6-CN4))*180/PI())))</f>
        <v>97.810414403500715</v>
      </c>
      <c r="CS4" s="38">
        <f>CR4/360*6400</f>
        <v>1738.8518116177906</v>
      </c>
      <c r="CT4" s="42">
        <f>CM4</f>
        <v>707</v>
      </c>
      <c r="CU4" s="35">
        <f>CN4+2</f>
        <v>444</v>
      </c>
      <c r="CV4" s="35">
        <f>((Koordinaten!$D$5-CT4)^2+(Koordinaten!$D$6-CU4)^2)^(1/2)*10</f>
        <v>2278.5302280198084</v>
      </c>
      <c r="CW4" s="35">
        <f>VLOOKUP(Koordinaten!$E$12,Tabelle1!$G$4:$AB$8,21,FALSE)</f>
        <v>1141.9264433624435</v>
      </c>
      <c r="CX4" s="35">
        <f>IF((Koordinaten!$D$7-Koordinaten!$E$7)&gt;0,CW4+Koordinaten!$E$16,CW4-Koordinaten!$E$16)</f>
        <v>1132.8127766394123</v>
      </c>
      <c r="CY4" s="48">
        <f>IF((Koordinaten!$F$6-CU4)&lt;0,IF((Koordinaten!$F$5-CT4)&gt;0,360+(ATAN((Koordinaten!$F$5-CT4)/(Koordinaten!$F$6-CU4))*180/PI()),IF((Koordinaten!$F$5-CT4)&lt;0,0+(ATAN((Koordinaten!$F$5-CT4)/(Koordinaten!$F$6-CU4))*180/PI()))),IF((Koordinaten!$F$5-CT4)&lt;0,180+(ATAN((Koordinaten!$F$5-CT4)/(Koordinaten!$F$6-CU4))*180/PI()),180+(ATAN((Koordinaten!$F$5-CT4)/(Koordinaten!$F$6-CU4))*180/PI())))</f>
        <v>97.312154865298226</v>
      </c>
      <c r="CZ4" s="38">
        <f>CY4/360*6400</f>
        <v>1729.9938642719685</v>
      </c>
      <c r="DA4" s="42">
        <f>CT4</f>
        <v>707</v>
      </c>
      <c r="DB4" s="35">
        <f>CU4+2</f>
        <v>446</v>
      </c>
      <c r="DC4" s="35">
        <f>((Koordinaten!$D$5-DA4)^2+(Koordinaten!$D$6-DB4)^2)^(1/2)*10</f>
        <v>2276.0711763914592</v>
      </c>
      <c r="DD4" s="35">
        <f>VLOOKUP(Koordinaten!$E$12,Tabelle1!$G$4:$AB$8,22,FALSE)</f>
        <v>1142.6150769578899</v>
      </c>
      <c r="DE4" s="35">
        <f>IF((Koordinaten!$D$7-Koordinaten!$E$7)&gt;0,DD4+Koordinaten!$E$16,DD4-Koordinaten!$E$16)</f>
        <v>1133.5014102348587</v>
      </c>
      <c r="DF4" s="48">
        <f>IF((Koordinaten!$F$6-DB4)&lt;0,IF((Koordinaten!$F$5-DA4)&gt;0,360+(ATAN((Koordinaten!$F$5-DA4)/(Koordinaten!$F$6-DB4))*180/PI()),IF((Koordinaten!$F$5-DA4)&lt;0,0+(ATAN((Koordinaten!$F$5-DA4)/(Koordinaten!$F$6-DB4))*180/PI()))),IF((Koordinaten!$F$5-DA4)&lt;0,180+(ATAN((Koordinaten!$F$5-DA4)/(Koordinaten!$F$6-DB4))*180/PI()),180+(ATAN((Koordinaten!$F$5-DA4)/(Koordinaten!$F$6-DB4))*180/PI())))</f>
        <v>96.812780859352443</v>
      </c>
      <c r="DG4" s="38">
        <f>DF4/360*6400</f>
        <v>1721.1161041662656</v>
      </c>
    </row>
    <row r="5" spans="6:111" x14ac:dyDescent="0.25">
      <c r="F5" s="2" t="s">
        <v>11</v>
      </c>
      <c r="G5" s="2">
        <v>1</v>
      </c>
      <c r="H5" s="35">
        <f>Koordinaten!$E$14</f>
        <v>2304.3654224102565</v>
      </c>
      <c r="I5" s="35">
        <f>Tabelle1!$AY$4</f>
        <v>2300.5434140654684</v>
      </c>
      <c r="J5" s="35">
        <f>Tabelle1!$BF$4</f>
        <v>2296.8892006363735</v>
      </c>
      <c r="K5" s="35">
        <f>Tabelle1!$BM$4</f>
        <v>2293.4035841953332</v>
      </c>
      <c r="L5" s="35">
        <f>Tabelle1!$BT$4</f>
        <v>2290.0873345791861</v>
      </c>
      <c r="M5" s="35">
        <f>Tabelle1!$CA$4</f>
        <v>2286.9411885748177</v>
      </c>
      <c r="N5" s="35">
        <f>Tabelle1!$CH$4</f>
        <v>2283.9658491317246</v>
      </c>
      <c r="O5" s="35">
        <f>Tabelle1!$CO$4</f>
        <v>2281.161984603461</v>
      </c>
      <c r="P5" s="35">
        <f>Tabelle1!$CV$4</f>
        <v>2278.5302280198084</v>
      </c>
      <c r="Q5" s="35">
        <f>Tabelle1!$DC$4</f>
        <v>2276.0711763914592</v>
      </c>
      <c r="R5" s="7" t="str">
        <f>IF(H5&gt;900, "n.M.",S5)</f>
        <v>n.M.</v>
      </c>
      <c r="S5" s="6">
        <f>$AG$5*H5^4+$AF$5*H5^3+$AE$5*H5^2+$AD$5*H5+$AC$5</f>
        <v>-19398.157619429345</v>
      </c>
      <c r="T5" s="6">
        <f t="shared" ref="T5:AB5" si="1">$AG$5*I5^4+$AF$5*I5^3+$AE$5*I5^2+$AD$5*I5+$AC$5</f>
        <v>-19241.940644536669</v>
      </c>
      <c r="U5" s="6">
        <f t="shared" si="1"/>
        <v>-19093.431021045799</v>
      </c>
      <c r="V5" s="6">
        <f t="shared" si="1"/>
        <v>-18952.543825647852</v>
      </c>
      <c r="W5" s="6">
        <f t="shared" si="1"/>
        <v>-18819.198245519445</v>
      </c>
      <c r="X5" s="6">
        <f t="shared" si="1"/>
        <v>-18693.317568978491</v>
      </c>
      <c r="Y5" s="6">
        <f t="shared" si="1"/>
        <v>-18574.829176512583</v>
      </c>
      <c r="Z5" s="6">
        <f t="shared" si="1"/>
        <v>-18463.664532193929</v>
      </c>
      <c r="AA5" s="6">
        <f t="shared" si="1"/>
        <v>-18359.759175493469</v>
      </c>
      <c r="AB5" s="6">
        <f t="shared" si="1"/>
        <v>-18263.052713506862</v>
      </c>
      <c r="AC5" s="4">
        <v>1585.33</v>
      </c>
      <c r="AD5" s="4">
        <f>-0.294365</f>
        <v>-0.29436499999999999</v>
      </c>
      <c r="AE5" s="4">
        <f>-0.00115982</f>
        <v>-1.15982E-3</v>
      </c>
      <c r="AF5" s="4">
        <f>0.00000203322</f>
        <v>2.03322E-6</v>
      </c>
      <c r="AG5" s="4">
        <f>-0.00000000138403</f>
        <v>-1.38403E-9</v>
      </c>
      <c r="AO5" s="44"/>
      <c r="AP5" s="42"/>
      <c r="AQ5" s="35"/>
      <c r="AR5" s="35"/>
      <c r="AS5" s="35"/>
      <c r="AT5" s="35"/>
      <c r="AU5" s="48"/>
      <c r="AV5" s="38"/>
      <c r="AW5" s="42"/>
      <c r="AX5" s="35"/>
      <c r="AY5" s="35"/>
      <c r="AZ5" s="35"/>
      <c r="BA5" s="35"/>
      <c r="BB5" s="48"/>
      <c r="BC5" s="38"/>
      <c r="BD5" s="42"/>
      <c r="BE5" s="35"/>
      <c r="BF5" s="35"/>
      <c r="BG5" s="35"/>
      <c r="BH5" s="35"/>
      <c r="BI5" s="48"/>
      <c r="BJ5" s="38"/>
      <c r="BK5" s="42"/>
      <c r="BL5" s="35"/>
      <c r="BM5" s="35"/>
      <c r="BN5" s="35"/>
      <c r="BO5" s="35"/>
      <c r="BP5" s="48"/>
      <c r="BQ5" s="38"/>
      <c r="BR5" s="42"/>
      <c r="BS5" s="35"/>
      <c r="BT5" s="35"/>
      <c r="BU5" s="35"/>
      <c r="BV5" s="35"/>
      <c r="BW5" s="48"/>
      <c r="BX5" s="38"/>
      <c r="BY5" s="42"/>
      <c r="BZ5" s="35"/>
      <c r="CA5" s="35"/>
      <c r="CB5" s="35"/>
      <c r="CC5" s="35"/>
      <c r="CD5" s="48"/>
      <c r="CE5" s="38"/>
      <c r="CF5" s="42"/>
      <c r="CG5" s="35"/>
      <c r="CH5" s="35"/>
      <c r="CI5" s="35"/>
      <c r="CJ5" s="35"/>
      <c r="CK5" s="48"/>
      <c r="CL5" s="38"/>
      <c r="CM5" s="42"/>
      <c r="CN5" s="35"/>
      <c r="CO5" s="35"/>
      <c r="CP5" s="35"/>
      <c r="CQ5" s="35"/>
      <c r="CR5" s="48"/>
      <c r="CS5" s="38"/>
      <c r="CT5" s="42"/>
      <c r="CU5" s="35"/>
      <c r="CV5" s="35"/>
      <c r="CW5" s="35"/>
      <c r="CX5" s="35"/>
      <c r="CY5" s="48"/>
      <c r="CZ5" s="38"/>
      <c r="DA5" s="42"/>
      <c r="DB5" s="35"/>
      <c r="DC5" s="35"/>
      <c r="DD5" s="35"/>
      <c r="DE5" s="35"/>
      <c r="DF5" s="48"/>
      <c r="DG5" s="38"/>
    </row>
    <row r="6" spans="6:111" x14ac:dyDescent="0.25">
      <c r="F6" s="2" t="s">
        <v>12</v>
      </c>
      <c r="G6" s="2">
        <v>2</v>
      </c>
      <c r="H6" s="35">
        <f>Koordinaten!$E$14</f>
        <v>2304.3654224102565</v>
      </c>
      <c r="I6" s="35">
        <f>Tabelle1!$AY$4</f>
        <v>2300.5434140654684</v>
      </c>
      <c r="J6" s="35">
        <f>Tabelle1!$BF$4</f>
        <v>2296.8892006363735</v>
      </c>
      <c r="K6" s="35">
        <f>Tabelle1!$BM$4</f>
        <v>2293.4035841953332</v>
      </c>
      <c r="L6" s="35">
        <f>Tabelle1!$BT$4</f>
        <v>2290.0873345791861</v>
      </c>
      <c r="M6" s="35">
        <f>Tabelle1!$CA$4</f>
        <v>2286.9411885748177</v>
      </c>
      <c r="N6" s="35">
        <f>Tabelle1!$CH$4</f>
        <v>2283.9658491317246</v>
      </c>
      <c r="O6" s="35">
        <f>Tabelle1!$CO$4</f>
        <v>2281.161984603461</v>
      </c>
      <c r="P6" s="35">
        <f>Tabelle1!$CV$4</f>
        <v>2278.5302280198084</v>
      </c>
      <c r="Q6" s="35">
        <f>Tabelle1!$DC$4</f>
        <v>2276.0711763914592</v>
      </c>
      <c r="R6" s="7" t="str">
        <f>IF(H6&gt;1600, "n.M.",S6)</f>
        <v>n.M.</v>
      </c>
      <c r="S6" s="6">
        <f>$AH$6*H6^5+$AG$6*H6^4+$AF$6*H6^3+$AE$6*H6^2+$AD$6*H6+$AC$6</f>
        <v>-1585.8487269313332</v>
      </c>
      <c r="T6" s="6">
        <f t="shared" ref="T6:AB6" si="2">$AH$6*I6^5+$AG$6*I6^4+$AF$6*I6^3+$AE$6*I6^2+$AD$6*I6+$AC$6</f>
        <v>-1555.6313660455007</v>
      </c>
      <c r="U6" s="6">
        <f>$AH$6*J6^5+$AG$6*J6^4+$AF$6*J6^3+$AE$6*J6^2+$AD$6*J6+$AC$6</f>
        <v>-1527.006235724773</v>
      </c>
      <c r="V6" s="6">
        <f t="shared" si="2"/>
        <v>-1499.9420409231211</v>
      </c>
      <c r="W6" s="6">
        <f t="shared" si="2"/>
        <v>-1474.4091612014604</v>
      </c>
      <c r="X6" s="6">
        <f t="shared" si="2"/>
        <v>-1450.379623945752</v>
      </c>
      <c r="Y6" s="6">
        <f t="shared" si="2"/>
        <v>-1427.8270788748791</v>
      </c>
      <c r="Z6" s="6">
        <f t="shared" si="2"/>
        <v>-1406.726773845749</v>
      </c>
      <c r="AA6" s="6">
        <f t="shared" si="2"/>
        <v>-1387.0555319626992</v>
      </c>
      <c r="AB6" s="6">
        <f t="shared" si="2"/>
        <v>-1368.7917299980722</v>
      </c>
      <c r="AC6" s="4">
        <v>1628.85</v>
      </c>
      <c r="AD6" s="4">
        <f>-0.590671</f>
        <v>-0.59067099999999995</v>
      </c>
      <c r="AE6" s="4">
        <v>9.5766199999999997E-4</v>
      </c>
      <c r="AF6" s="4">
        <v>-1.4731999999999999E-6</v>
      </c>
      <c r="AG6" s="4">
        <v>1.0097900000000001E-9</v>
      </c>
      <c r="AH6" s="4">
        <f>-0.000000000000267564</f>
        <v>-2.6756400000000001E-13</v>
      </c>
      <c r="AN6" s="2">
        <v>2</v>
      </c>
      <c r="AO6" s="44" t="s">
        <v>33</v>
      </c>
      <c r="AP6" s="42">
        <f>Koordinaten!$E$5</f>
        <v>707</v>
      </c>
      <c r="AQ6" s="35">
        <f>Koordinaten!$E$6</f>
        <v>428</v>
      </c>
      <c r="AR6" s="35">
        <f>((Koordinaten!$D$5-AP6)^2+(Koordinaten!$D$6-AQ6)^2)^(1/2)*10</f>
        <v>2304.3654224102565</v>
      </c>
      <c r="AS6" s="35">
        <f>VLOOKUP(Koordinaten!$E$12,Tabelle1!$G$4:$AB$8,13,FALSE)</f>
        <v>1134.6016305128551</v>
      </c>
      <c r="AT6" s="35">
        <f>IF((Koordinaten!$D$7-Koordinaten!$E$7)&gt;0,AS6+Koordinaten!$E$16,AS6-Koordinaten!$E$16)</f>
        <v>1125.4879637898239</v>
      </c>
      <c r="AU6" s="48">
        <f>IF((Koordinaten!$F$6-AQ6)&lt;0,IF((Koordinaten!$F$5-AP6)&gt;0,360+(ATAN((Koordinaten!$F$5-AP6)/(Koordinaten!$F$6-AQ6))*180/PI()),IF((Koordinaten!$F$5-AP6)&lt;0,0+(ATAN((Koordinaten!$F$5-AP6)/(Koordinaten!$F$6-AQ6))*180/PI()))),IF((Koordinaten!$F$5-AP6)&lt;0,180+(ATAN((Koordinaten!$F$5-AP6)/(Koordinaten!$F$6-AQ6))*180/PI()),180+(ATAN((Koordinaten!$F$5-AP6)/(Koordinaten!$F$6-AQ6))*180/PI())))</f>
        <v>101.26117012025017</v>
      </c>
      <c r="AV6" s="38">
        <f>AU6/360*6400</f>
        <v>1800.1985799155586</v>
      </c>
      <c r="AW6" s="42">
        <f>AP6+1.414</f>
        <v>708.41399999999999</v>
      </c>
      <c r="AX6" s="35">
        <f>AQ6+1.414</f>
        <v>429.41399999999999</v>
      </c>
      <c r="AY6" s="35">
        <f>((Koordinaten!$D$5-AW6)^2+(Koordinaten!$D$6-AX6)^2)^(1/2)*10</f>
        <v>2315.5316191319866</v>
      </c>
      <c r="AZ6" s="35">
        <f>VLOOKUP(Koordinaten!$E$12,Tabelle1!$G$4:$AB$8,14,FALSE)</f>
        <v>1135.6958837596017</v>
      </c>
      <c r="BA6" s="35">
        <f>IF((Koordinaten!$D$7-Koordinaten!$E$7)&gt;0,AZ6+Koordinaten!$E$16,AZ6-Koordinaten!$E$16)</f>
        <v>1126.5822170365705</v>
      </c>
      <c r="BB6" s="48">
        <f>IF((Koordinaten!$F$6-AX6)&lt;0,IF((Koordinaten!$F$5-AW6)&gt;0,360+(ATAN((Koordinaten!$F$5-AW6)/(Koordinaten!$F$6-AX6))*180/PI()),IF((Koordinaten!$F$5-AW6)&lt;0,0+(ATAN((Koordinaten!$F$5-AW6)/(Koordinaten!$F$6-AX6))*180/PI()))),IF((Koordinaten!$F$5-AW6)&lt;0,180+(ATAN((Koordinaten!$F$5-AW6)/(Koordinaten!$F$6-AX6))*180/PI()),180+(ATAN((Koordinaten!$F$5-AW6)/(Koordinaten!$F$6-AX6))*180/PI())))</f>
        <v>100.84969555009899</v>
      </c>
      <c r="BC6" s="38">
        <f>BB6/360*6400</f>
        <v>1792.8834764462042</v>
      </c>
      <c r="BD6" s="42">
        <f>AW6+1.414</f>
        <v>709.82799999999997</v>
      </c>
      <c r="BE6" s="35">
        <f>AX6+1.414</f>
        <v>430.82799999999997</v>
      </c>
      <c r="BF6" s="35">
        <f>((Koordinaten!$D$5-BD6)^2+(Koordinaten!$D$6-BE6)^2)^(1/2)*10</f>
        <v>2326.8160900251655</v>
      </c>
      <c r="BG6" s="35">
        <f>VLOOKUP(Koordinaten!$E$12,Tabelle1!$G$4:$AB$8,15,FALSE)</f>
        <v>1136.7385730837686</v>
      </c>
      <c r="BH6" s="35">
        <f>IF((Koordinaten!$D$7-Koordinaten!$E$7)&gt;0,BG6+Koordinaten!$E$16,BG6-Koordinaten!$E$16)</f>
        <v>1127.6249063607374</v>
      </c>
      <c r="BI6" s="48">
        <f>IF((Koordinaten!$F$6-BE6)&lt;0,IF((Koordinaten!$F$5-BD6)&gt;0,360+(ATAN((Koordinaten!$F$5-BD6)/(Koordinaten!$F$6-BE6))*180/PI()),IF((Koordinaten!$F$5-BD6)&lt;0,0+(ATAN((Koordinaten!$F$5-BD6)/(Koordinaten!$F$6-BE6))*180/PI()))),IF((Koordinaten!$F$5-BD6)&lt;0,180+(ATAN((Koordinaten!$F$5-BD6)/(Koordinaten!$F$6-BE6))*180/PI()),180+(ATAN((Koordinaten!$F$5-BD6)/(Koordinaten!$F$6-BE6))*180/PI())))</f>
        <v>100.44219122726264</v>
      </c>
      <c r="BJ6" s="38">
        <f>BI6/360*6400</f>
        <v>1785.6389551513359</v>
      </c>
      <c r="BK6" s="42">
        <f>BD6+1.414</f>
        <v>711.24199999999996</v>
      </c>
      <c r="BL6" s="35">
        <f>BE6+1.414</f>
        <v>432.24199999999996</v>
      </c>
      <c r="BM6" s="35">
        <f>((Koordinaten!$D$5-BK6)^2+(Koordinaten!$D$6-BL6)^2)^(1/2)*10</f>
        <v>2338.2171226812961</v>
      </c>
      <c r="BN6" s="35">
        <f>VLOOKUP(Koordinaten!$E$12,Tabelle1!$G$4:$AB$8,16,FALSE)</f>
        <v>1137.7299839115526</v>
      </c>
      <c r="BO6" s="35">
        <f>IF((Koordinaten!$D$7-Koordinaten!$E$7)&gt;0,BN6+Koordinaten!$E$16,BN6-Koordinaten!$E$16)</f>
        <v>1128.6163171885214</v>
      </c>
      <c r="BP6" s="48">
        <f>IF((Koordinaten!$F$6-BL6)&lt;0,IF((Koordinaten!$F$5-BK6)&gt;0,360+(ATAN((Koordinaten!$F$5-BK6)/(Koordinaten!$F$6-BL6))*180/PI()),IF((Koordinaten!$F$5-BK6)&lt;0,0+(ATAN((Koordinaten!$F$5-BK6)/(Koordinaten!$F$6-BL6))*180/PI()))),IF((Koordinaten!$F$5-BK6)&lt;0,180+(ATAN((Koordinaten!$F$5-BK6)/(Koordinaten!$F$6-BL6))*180/PI()),180+(ATAN((Koordinaten!$F$5-BK6)/(Koordinaten!$F$6-BL6))*180/PI())))</f>
        <v>100.03864059815731</v>
      </c>
      <c r="BQ6" s="38">
        <f>BP6/360*6400</f>
        <v>1778.464721745019</v>
      </c>
      <c r="BR6" s="42">
        <f>BK6+1.414</f>
        <v>712.65599999999995</v>
      </c>
      <c r="BS6" s="35">
        <f>BL6+1.414</f>
        <v>433.65599999999995</v>
      </c>
      <c r="BT6" s="35">
        <f>((Koordinaten!$D$5-BR6)^2+(Koordinaten!$D$6-BS6)^2)^(1/2)*10</f>
        <v>2349.7330204089139</v>
      </c>
      <c r="BU6" s="35">
        <f>VLOOKUP(Koordinaten!$E$12,Tabelle1!$G$4:$AB$8,17,FALSE)</f>
        <v>1138.6703807186213</v>
      </c>
      <c r="BV6" s="35">
        <f>IF((Koordinaten!$D$7-Koordinaten!$E$7)&gt;0,BU6+Koordinaten!$E$16,BU6-Koordinaten!$E$16)</f>
        <v>1129.5567139955901</v>
      </c>
      <c r="BW6" s="48">
        <f>IF((Koordinaten!$F$6-BS6)&lt;0,IF((Koordinaten!$F$5-BR6)&gt;0,360+(ATAN((Koordinaten!$F$5-BR6)/(Koordinaten!$F$6-BS6))*180/PI()),IF((Koordinaten!$F$5-BR6)&lt;0,0+(ATAN((Koordinaten!$F$5-BR6)/(Koordinaten!$F$6-BS6))*180/PI()))),IF((Koordinaten!$F$5-BR6)&lt;0,180+(ATAN((Koordinaten!$F$5-BR6)/(Koordinaten!$F$6-BS6))*180/PI()),180+(ATAN((Koordinaten!$F$5-BR6)/(Koordinaten!$F$6-BS6))*180/PI())))</f>
        <v>99.639025859765155</v>
      </c>
      <c r="BX6" s="38">
        <f>BW6/360*6400</f>
        <v>1771.3604597291583</v>
      </c>
      <c r="BY6" s="42">
        <f>BR6+1.414</f>
        <v>714.06999999999994</v>
      </c>
      <c r="BZ6" s="35">
        <f>BS6+1.414</f>
        <v>435.06999999999994</v>
      </c>
      <c r="CA6" s="35">
        <f>((Koordinaten!$D$5-BY6)^2+(Koordinaten!$D$6-BZ6)^2)^(1/2)*10</f>
        <v>2361.3621026856508</v>
      </c>
      <c r="CB6" s="35">
        <f>VLOOKUP(Koordinaten!$E$12,Tabelle1!$G$4:$AB$8,18,FALSE)</f>
        <v>1139.5600081190446</v>
      </c>
      <c r="CC6" s="35">
        <f>IF((Koordinaten!$D$7-Koordinaten!$E$7)&gt;0,CB6+Koordinaten!$E$16,CB6-Koordinaten!$E$16)</f>
        <v>1130.4463413960134</v>
      </c>
      <c r="CD6" s="48">
        <f>IF((Koordinaten!$F$6-BZ6)&lt;0,IF((Koordinaten!$F$5-BY6)&gt;0,360+(ATAN((Koordinaten!$F$5-BY6)/(Koordinaten!$F$6-BZ6))*180/PI()),IF((Koordinaten!$F$5-BY6)&lt;0,0+(ATAN((Koordinaten!$F$5-BY6)/(Koordinaten!$F$6-BZ6))*180/PI()))),IF((Koordinaten!$F$5-BY6)&lt;0,180+(ATAN((Koordinaten!$F$5-BY6)/(Koordinaten!$F$6-BZ6))*180/PI()),180+(ATAN((Koordinaten!$F$5-BY6)/(Koordinaten!$F$6-BZ6))*180/PI())))</f>
        <v>99.243328022934875</v>
      </c>
      <c r="CE6" s="38">
        <f>CD6/360*6400</f>
        <v>1764.3258315188423</v>
      </c>
      <c r="CF6" s="42">
        <f>BY6+1.414</f>
        <v>715.48399999999992</v>
      </c>
      <c r="CG6" s="35">
        <f>BZ6+1.414</f>
        <v>436.48399999999992</v>
      </c>
      <c r="CH6" s="35">
        <f>((Koordinaten!$D$5-CF6)^2+(Koordinaten!$D$6-CG6)^2)^(1/2)*10</f>
        <v>2373.102705573443</v>
      </c>
      <c r="CI6" s="35">
        <f>VLOOKUP(Koordinaten!$E$12,Tabelle1!$G$4:$AB$8,19,FALSE)</f>
        <v>1140.399091896883</v>
      </c>
      <c r="CJ6" s="35">
        <f>IF((Koordinaten!$D$7-Koordinaten!$E$7)&gt;0,CI6+Koordinaten!$E$16,CI6-Koordinaten!$E$16)</f>
        <v>1131.2854251738518</v>
      </c>
      <c r="CK6" s="48">
        <f>IF((Koordinaten!$F$6-CG6)&lt;0,IF((Koordinaten!$F$5-CF6)&gt;0,360+(ATAN((Koordinaten!$F$5-CF6)/(Koordinaten!$F$6-CG6))*180/PI()),IF((Koordinaten!$F$5-CF6)&lt;0,0+(ATAN((Koordinaten!$F$5-CF6)/(Koordinaten!$F$6-CG6))*180/PI()))),IF((Koordinaten!$F$5-CF6)&lt;0,180+(ATAN((Koordinaten!$F$5-CF6)/(Koordinaten!$F$6-CG6))*180/PI()),180+(ATAN((Koordinaten!$F$5-CF6)/(Koordinaten!$F$6-CG6))*180/PI())))</f>
        <v>98.851526974348829</v>
      </c>
      <c r="CL6" s="38">
        <f>CK6/360*6400</f>
        <v>1757.3604795439792</v>
      </c>
      <c r="CM6" s="42">
        <f>CF6+1.414</f>
        <v>716.89799999999991</v>
      </c>
      <c r="CN6" s="35">
        <f>CG6+1.414</f>
        <v>437.89799999999991</v>
      </c>
      <c r="CO6" s="35">
        <f>((Koordinaten!$D$5-CM6)^2+(Koordinaten!$D$6-CN6)^2)^(1/2)*10</f>
        <v>2384.9531820981301</v>
      </c>
      <c r="CP6" s="35">
        <f>VLOOKUP(Koordinaten!$E$12,Tabelle1!$G$4:$AB$8,20,FALSE)</f>
        <v>1141.1878399808518</v>
      </c>
      <c r="CQ6" s="35">
        <f>IF((Koordinaten!$D$7-Koordinaten!$E$7)&gt;0,CP6+Koordinaten!$E$16,CP6-Koordinaten!$E$16)</f>
        <v>1132.0741732578206</v>
      </c>
      <c r="CR6" s="48">
        <f>IF((Koordinaten!$F$6-CN6)&lt;0,IF((Koordinaten!$F$5-CM6)&gt;0,360+(ATAN((Koordinaten!$F$5-CM6)/(Koordinaten!$F$6-CN6))*180/PI()),IF((Koordinaten!$F$5-CM6)&lt;0,0+(ATAN((Koordinaten!$F$5-CM6)/(Koordinaten!$F$6-CN6))*180/PI()))),IF((Koordinaten!$F$5-CM6)&lt;0,180+(ATAN((Koordinaten!$F$5-CM6)/(Koordinaten!$F$6-CN6))*180/PI()),180+(ATAN((Koordinaten!$F$5-CM6)/(Koordinaten!$F$6-CN6))*180/PI())))</f>
        <v>98.463601537101383</v>
      </c>
      <c r="CS6" s="38">
        <f>CR6/360*6400</f>
        <v>1750.4640273262467</v>
      </c>
      <c r="CT6" s="42">
        <f>CM6+1.414</f>
        <v>718.3119999999999</v>
      </c>
      <c r="CU6" s="35">
        <f>CN6+1.414</f>
        <v>439.3119999999999</v>
      </c>
      <c r="CV6" s="35">
        <f>((Koordinaten!$D$5-CT6)^2+(Koordinaten!$D$6-CU6)^2)^(1/2)*10</f>
        <v>2396.9119025946693</v>
      </c>
      <c r="CW6" s="35">
        <f>VLOOKUP(Koordinaten!$E$12,Tabelle1!$G$4:$AB$8,21,FALSE)</f>
        <v>1141.9264433624435</v>
      </c>
      <c r="CX6" s="35">
        <f>IF((Koordinaten!$D$7-Koordinaten!$E$7)&gt;0,CW6+Koordinaten!$E$16,CW6-Koordinaten!$E$16)</f>
        <v>1132.8127766394123</v>
      </c>
      <c r="CY6" s="48">
        <f>IF((Koordinaten!$F$6-CU6)&lt;0,IF((Koordinaten!$F$5-CT6)&gt;0,360+(ATAN((Koordinaten!$F$5-CT6)/(Koordinaten!$F$6-CU6))*180/PI()),IF((Koordinaten!$F$5-CT6)&lt;0,0+(ATAN((Koordinaten!$F$5-CT6)/(Koordinaten!$F$6-CU6))*180/PI()))),IF((Koordinaten!$F$5-CT6)&lt;0,180+(ATAN((Koordinaten!$F$5-CT6)/(Koordinaten!$F$6-CU6))*180/PI()),180+(ATAN((Koordinaten!$F$5-CT6)/(Koordinaten!$F$6-CU6))*180/PI())))</f>
        <v>98.079529529841409</v>
      </c>
      <c r="CZ6" s="38">
        <f>CY6/360*6400</f>
        <v>1743.6360805305139</v>
      </c>
      <c r="DA6" s="42">
        <f>CT6+1.414</f>
        <v>719.72599999999989</v>
      </c>
      <c r="DB6" s="35">
        <f>CU6+1.414</f>
        <v>440.72599999999989</v>
      </c>
      <c r="DC6" s="35">
        <f>((Koordinaten!$D$5-DA6)^2+(Koordinaten!$D$6-DB6)^2)^(1/2)*10</f>
        <v>2408.9772550192324</v>
      </c>
      <c r="DD6" s="35">
        <f>VLOOKUP(Koordinaten!$E$12,Tabelle1!$G$4:$AB$8,22,FALSE)</f>
        <v>1142.6150769578899</v>
      </c>
      <c r="DE6" s="35">
        <f>IF((Koordinaten!$D$7-Koordinaten!$E$7)&gt;0,DD6+Koordinaten!$E$16,DD6-Koordinaten!$E$16)</f>
        <v>1133.5014102348587</v>
      </c>
      <c r="DF6" s="48">
        <f>IF((Koordinaten!$F$6-DB6)&lt;0,IF((Koordinaten!$F$5-DA6)&gt;0,360+(ATAN((Koordinaten!$F$5-DA6)/(Koordinaten!$F$6-DB6))*180/PI()),IF((Koordinaten!$F$5-DA6)&lt;0,0+(ATAN((Koordinaten!$F$5-DA6)/(Koordinaten!$F$6-DB6))*180/PI()))),IF((Koordinaten!$F$5-DA6)&lt;0,180+(ATAN((Koordinaten!$F$5-DA6)/(Koordinaten!$F$6-DB6))*180/PI()),180+(ATAN((Koordinaten!$F$5-DA6)/(Koordinaten!$F$6-DB6))*180/PI())))</f>
        <v>97.699287824438855</v>
      </c>
      <c r="DG6" s="38">
        <f>DF6/360*6400</f>
        <v>1736.8762279900243</v>
      </c>
    </row>
    <row r="7" spans="6:111" x14ac:dyDescent="0.25">
      <c r="F7" s="2" t="s">
        <v>13</v>
      </c>
      <c r="G7" s="2">
        <v>3</v>
      </c>
      <c r="H7" s="35">
        <f>Koordinaten!$E$14</f>
        <v>2304.3654224102565</v>
      </c>
      <c r="I7" s="35">
        <f>Tabelle1!$AY$4</f>
        <v>2300.5434140654684</v>
      </c>
      <c r="J7" s="35">
        <f>Tabelle1!$BF$4</f>
        <v>2296.8892006363735</v>
      </c>
      <c r="K7" s="35">
        <f>Tabelle1!$BM$4</f>
        <v>2293.4035841953332</v>
      </c>
      <c r="L7" s="35">
        <f>Tabelle1!$BT$4</f>
        <v>2290.0873345791861</v>
      </c>
      <c r="M7" s="35">
        <f>Tabelle1!$CA$4</f>
        <v>2286.9411885748177</v>
      </c>
      <c r="N7" s="35">
        <f>Tabelle1!$CH$4</f>
        <v>2283.9658491317246</v>
      </c>
      <c r="O7" s="35">
        <f>Tabelle1!$CO$4</f>
        <v>2281.161984603461</v>
      </c>
      <c r="P7" s="35">
        <f>Tabelle1!$CV$4</f>
        <v>2278.5302280198084</v>
      </c>
      <c r="Q7" s="35">
        <f>Tabelle1!$DC$4</f>
        <v>2276.0711763914592</v>
      </c>
      <c r="R7" s="7" t="str">
        <f>IF(H7&gt;2300, "n.M.",S7)</f>
        <v>n.M.</v>
      </c>
      <c r="S7" s="6">
        <f>$AH$7*H7^5+$AG$7*H7^4+$AF$7*H7^3+$AE$7*H7^2+$AD$7*H7+$AC$7</f>
        <v>804.59792575900701</v>
      </c>
      <c r="T7" s="6">
        <f t="shared" ref="T7:AB7" si="3">$AH$7*I7^5+$AG$7*I7^4+$AF$7*I7^3+$AE$7*I7^2+$AD$7*I7+$AC$7</f>
        <v>809.3337209322267</v>
      </c>
      <c r="U7" s="6">
        <f t="shared" si="3"/>
        <v>813.81134983990478</v>
      </c>
      <c r="V7" s="6">
        <f t="shared" si="3"/>
        <v>818.03708592139537</v>
      </c>
      <c r="W7" s="6">
        <f t="shared" si="3"/>
        <v>822.01683545554761</v>
      </c>
      <c r="X7" s="6">
        <f t="shared" si="3"/>
        <v>825.75614760412873</v>
      </c>
      <c r="Y7" s="6">
        <f t="shared" si="3"/>
        <v>829.26022394639676</v>
      </c>
      <c r="Z7" s="6">
        <f t="shared" si="3"/>
        <v>832.5339275055544</v>
      </c>
      <c r="AA7" s="6">
        <f t="shared" si="3"/>
        <v>835.58179126786445</v>
      </c>
      <c r="AB7" s="6">
        <f t="shared" si="3"/>
        <v>838.4080261952322</v>
      </c>
      <c r="AC7" s="4">
        <v>1710.15</v>
      </c>
      <c r="AD7" s="4">
        <f>-0.931423</f>
        <v>-0.931423</v>
      </c>
      <c r="AE7" s="4">
        <v>1.61641E-3</v>
      </c>
      <c r="AF7" s="4">
        <f>-0.00000166008</f>
        <v>-1.6600800000000001E-6</v>
      </c>
      <c r="AG7" s="4">
        <v>7.7334599999999999E-10</v>
      </c>
      <c r="AH7" s="4">
        <f>-0.000000000000135976</f>
        <v>-1.3597600000000001E-13</v>
      </c>
      <c r="AO7" s="44"/>
      <c r="AP7" s="42"/>
      <c r="AQ7" s="35"/>
      <c r="AR7" s="35"/>
      <c r="AS7" s="35"/>
      <c r="AT7" s="35"/>
      <c r="AU7" s="48"/>
      <c r="AV7" s="38"/>
      <c r="AW7" s="42"/>
      <c r="AX7" s="35"/>
      <c r="AY7" s="35"/>
      <c r="AZ7" s="35"/>
      <c r="BA7" s="35"/>
      <c r="BB7" s="48"/>
      <c r="BC7" s="38"/>
      <c r="BD7" s="42"/>
      <c r="BE7" s="35"/>
      <c r="BF7" s="35"/>
      <c r="BG7" s="35"/>
      <c r="BH7" s="35"/>
      <c r="BI7" s="48"/>
      <c r="BJ7" s="38"/>
      <c r="BK7" s="42"/>
      <c r="BL7" s="35"/>
      <c r="BM7" s="35"/>
      <c r="BN7" s="35"/>
      <c r="BO7" s="35"/>
      <c r="BP7" s="48"/>
      <c r="BQ7" s="38"/>
      <c r="BR7" s="42"/>
      <c r="BS7" s="35"/>
      <c r="BT7" s="35"/>
      <c r="BU7" s="35"/>
      <c r="BV7" s="35"/>
      <c r="BW7" s="48"/>
      <c r="BX7" s="38"/>
      <c r="BY7" s="42"/>
      <c r="BZ7" s="35"/>
      <c r="CA7" s="35"/>
      <c r="CB7" s="35"/>
      <c r="CC7" s="35"/>
      <c r="CD7" s="48"/>
      <c r="CE7" s="38"/>
      <c r="CF7" s="42"/>
      <c r="CG7" s="35"/>
      <c r="CH7" s="35"/>
      <c r="CI7" s="35"/>
      <c r="CJ7" s="35"/>
      <c r="CK7" s="48"/>
      <c r="CL7" s="38"/>
      <c r="CM7" s="42"/>
      <c r="CN7" s="35"/>
      <c r="CO7" s="35"/>
      <c r="CP7" s="35"/>
      <c r="CQ7" s="35"/>
      <c r="CR7" s="48"/>
      <c r="CS7" s="38"/>
      <c r="CT7" s="42"/>
      <c r="CU7" s="35"/>
      <c r="CV7" s="35"/>
      <c r="CW7" s="35"/>
      <c r="CX7" s="35"/>
      <c r="CY7" s="48"/>
      <c r="CZ7" s="38"/>
      <c r="DA7" s="42"/>
      <c r="DB7" s="35"/>
      <c r="DC7" s="35"/>
      <c r="DD7" s="35"/>
      <c r="DE7" s="35"/>
      <c r="DF7" s="48"/>
      <c r="DG7" s="38"/>
    </row>
    <row r="8" spans="6:111" x14ac:dyDescent="0.25">
      <c r="F8" s="2" t="s">
        <v>14</v>
      </c>
      <c r="G8" s="2">
        <v>4</v>
      </c>
      <c r="H8" s="35">
        <f>Koordinaten!$E$14</f>
        <v>2304.3654224102565</v>
      </c>
      <c r="I8" s="35">
        <f>Tabelle1!$AY$4</f>
        <v>2300.5434140654684</v>
      </c>
      <c r="J8" s="35">
        <f>Tabelle1!$BF$4</f>
        <v>2296.8892006363735</v>
      </c>
      <c r="K8" s="35">
        <f>Tabelle1!$BM$4</f>
        <v>2293.4035841953332</v>
      </c>
      <c r="L8" s="35">
        <f>Tabelle1!$BT$4</f>
        <v>2290.0873345791861</v>
      </c>
      <c r="M8" s="35">
        <f>Tabelle1!$CA$4</f>
        <v>2286.9411885748177</v>
      </c>
      <c r="N8" s="35">
        <f>Tabelle1!$CH$4</f>
        <v>2283.9658491317246</v>
      </c>
      <c r="O8" s="35">
        <f>Tabelle1!$CO$4</f>
        <v>2281.161984603461</v>
      </c>
      <c r="P8" s="35">
        <f>Tabelle1!$CV$4</f>
        <v>2278.5302280198084</v>
      </c>
      <c r="Q8" s="35">
        <f>Tabelle1!$DC$4</f>
        <v>2276.0711763914592</v>
      </c>
      <c r="R8" s="7">
        <f>IF(H8&gt;2900, "n.M.",S8)</f>
        <v>1134.6016305128551</v>
      </c>
      <c r="S8" s="6">
        <f>$AH$8*H8^5+$AG$8*H8^4+$AF$8*H8^3+$AE$8*H8^2+$AD$8*H8+$AC$8</f>
        <v>1134.6016305128551</v>
      </c>
      <c r="T8" s="6">
        <f t="shared" ref="T8:AB8" si="4">$AH$8*I8^5+$AG$8*I8^4+$AF$8*I8^3+$AE$8*I8^2+$AD$8*I8+$AC$8</f>
        <v>1135.6958837596017</v>
      </c>
      <c r="U8" s="6">
        <f t="shared" si="4"/>
        <v>1136.7385730837686</v>
      </c>
      <c r="V8" s="6">
        <f t="shared" si="4"/>
        <v>1137.7299839115526</v>
      </c>
      <c r="W8" s="6">
        <f t="shared" si="4"/>
        <v>1138.6703807186213</v>
      </c>
      <c r="X8" s="6">
        <f t="shared" si="4"/>
        <v>1139.5600081190446</v>
      </c>
      <c r="Y8" s="6">
        <f t="shared" si="4"/>
        <v>1140.399091896883</v>
      </c>
      <c r="Z8" s="6">
        <f t="shared" si="4"/>
        <v>1141.1878399808518</v>
      </c>
      <c r="AA8" s="6">
        <f t="shared" si="4"/>
        <v>1141.9264433624435</v>
      </c>
      <c r="AB8" s="6">
        <f t="shared" si="4"/>
        <v>1142.6150769578899</v>
      </c>
      <c r="AC8" s="4">
        <v>1652.31</v>
      </c>
      <c r="AD8" s="4">
        <f>-0.430979</f>
        <v>-0.430979</v>
      </c>
      <c r="AE8" s="4">
        <v>4.59345E-4</v>
      </c>
      <c r="AF8" s="4">
        <f>-0.000000374758</f>
        <v>-3.74758E-7</v>
      </c>
      <c r="AG8" s="4">
        <v>1.3826799999999999E-10</v>
      </c>
      <c r="AH8" s="4">
        <f>-0.0000000000000196504</f>
        <v>-1.9650400000000001E-14</v>
      </c>
      <c r="AN8" s="2">
        <v>3</v>
      </c>
      <c r="AO8" s="44" t="s">
        <v>34</v>
      </c>
      <c r="AP8" s="42">
        <f>Koordinaten!$E$5</f>
        <v>707</v>
      </c>
      <c r="AQ8" s="35">
        <f>Koordinaten!$E$6</f>
        <v>428</v>
      </c>
      <c r="AR8" s="35">
        <f>((Koordinaten!$D$5-AP8)^2+(Koordinaten!$D$6-AQ8)^2)^(1/2)*10</f>
        <v>2304.3654224102565</v>
      </c>
      <c r="AS8" s="35">
        <f>VLOOKUP(Koordinaten!$E$12,Tabelle1!$G$4:$AB$8,13,FALSE)</f>
        <v>1134.6016305128551</v>
      </c>
      <c r="AT8" s="35">
        <f>IF((Koordinaten!$D$7-Koordinaten!$E$7)&gt;0,AS8+Koordinaten!$E$16,AS8-Koordinaten!$E$16)</f>
        <v>1125.4879637898239</v>
      </c>
      <c r="AU8" s="48">
        <f>IF((Koordinaten!$F$6-AQ8)&lt;0,IF((Koordinaten!$F$5-AP8)&gt;0,360+(ATAN((Koordinaten!$F$5-AP8)/(Koordinaten!$F$6-AQ8))*180/PI()),IF((Koordinaten!$F$5-AP8)&lt;0,0+(ATAN((Koordinaten!$F$5-AP8)/(Koordinaten!$F$6-AQ8))*180/PI()))),IF((Koordinaten!$F$5-AP8)&lt;0,180+(ATAN((Koordinaten!$F$5-AP8)/(Koordinaten!$F$6-AQ8))*180/PI()),180+(ATAN((Koordinaten!$F$5-AP8)/(Koordinaten!$F$6-AQ8))*180/PI())))</f>
        <v>101.26117012025017</v>
      </c>
      <c r="AV8" s="38">
        <f>AU8/360*6400</f>
        <v>1800.1985799155586</v>
      </c>
      <c r="AW8" s="42">
        <f>AP8+2</f>
        <v>709</v>
      </c>
      <c r="AX8" s="35">
        <f>AQ8</f>
        <v>428</v>
      </c>
      <c r="AY8" s="35">
        <f>((Koordinaten!$D$5-AW8)^2+(Koordinaten!$D$6-AX8)^2)^(1/2)*10</f>
        <v>2323.9836488237179</v>
      </c>
      <c r="AZ8" s="35">
        <f>VLOOKUP(Koordinaten!$E$12,Tabelle1!$G$4:$AB$8,14,FALSE)</f>
        <v>1135.6958837596017</v>
      </c>
      <c r="BA8" s="35">
        <f>IF((Koordinaten!$D$7-Koordinaten!$E$7)&gt;0,AZ8+Koordinaten!$E$16,AZ8-Koordinaten!$E$16)</f>
        <v>1126.5822170365705</v>
      </c>
      <c r="BB8" s="48">
        <f>IF((Koordinaten!$F$6-AX8)&lt;0,IF((Koordinaten!$F$5-AW8)&gt;0,360+(ATAN((Koordinaten!$F$5-AW8)/(Koordinaten!$F$6-AX8))*180/PI()),IF((Koordinaten!$F$5-AW8)&lt;0,0+(ATAN((Koordinaten!$F$5-AW8)/(Koordinaten!$F$6-AX8))*180/PI()))),IF((Koordinaten!$F$5-AW8)&lt;0,180+(ATAN((Koordinaten!$F$5-AW8)/(Koordinaten!$F$6-AX8))*180/PI()),180+(ATAN((Koordinaten!$F$5-AW8)/(Koordinaten!$F$6-AX8))*180/PI())))</f>
        <v>101.1648801775486</v>
      </c>
      <c r="BC8" s="38">
        <f>BB8/360*6400</f>
        <v>1798.4867587119752</v>
      </c>
      <c r="BD8" s="42">
        <f>AW8+2</f>
        <v>711</v>
      </c>
      <c r="BE8" s="35">
        <f>AX8</f>
        <v>428</v>
      </c>
      <c r="BF8" s="35">
        <f>((Koordinaten!$D$5-BD8)^2+(Koordinaten!$D$6-BE8)^2)^(1/2)*10</f>
        <v>2343.608329051593</v>
      </c>
      <c r="BG8" s="35">
        <f>VLOOKUP(Koordinaten!$E$12,Tabelle1!$G$4:$AB$8,15,FALSE)</f>
        <v>1136.7385730837686</v>
      </c>
      <c r="BH8" s="35">
        <f>IF((Koordinaten!$D$7-Koordinaten!$E$7)&gt;0,BG8+Koordinaten!$E$16,BG8-Koordinaten!$E$16)</f>
        <v>1127.6249063607374</v>
      </c>
      <c r="BI8" s="48">
        <f>IF((Koordinaten!$F$6-BE8)&lt;0,IF((Koordinaten!$F$5-BD8)&gt;0,360+(ATAN((Koordinaten!$F$5-BD8)/(Koordinaten!$F$6-BE8))*180/PI()),IF((Koordinaten!$F$5-BD8)&lt;0,0+(ATAN((Koordinaten!$F$5-BD8)/(Koordinaten!$F$6-BE8))*180/PI()))),IF((Koordinaten!$F$5-BD8)&lt;0,180+(ATAN((Koordinaten!$F$5-BD8)/(Koordinaten!$F$6-BE8))*180/PI()),180+(ATAN((Koordinaten!$F$5-BD8)/(Koordinaten!$F$6-BE8))*180/PI())))</f>
        <v>101.07020257793937</v>
      </c>
      <c r="BJ8" s="38">
        <f>BI8/360*6400</f>
        <v>1796.8036013855888</v>
      </c>
      <c r="BK8" s="42">
        <f>BD8+2</f>
        <v>713</v>
      </c>
      <c r="BL8" s="35">
        <f>BE8</f>
        <v>428</v>
      </c>
      <c r="BM8" s="35">
        <f>((Koordinaten!$D$5-BK8)^2+(Koordinaten!$D$6-BL8)^2)^(1/2)*10</f>
        <v>2363.2393023136697</v>
      </c>
      <c r="BN8" s="35">
        <f>VLOOKUP(Koordinaten!$E$12,Tabelle1!$G$4:$AB$8,16,FALSE)</f>
        <v>1137.7299839115526</v>
      </c>
      <c r="BO8" s="35">
        <f>IF((Koordinaten!$D$7-Koordinaten!$E$7)&gt;0,BN8+Koordinaten!$E$16,BN8-Koordinaten!$E$16)</f>
        <v>1128.6163171885214</v>
      </c>
      <c r="BP8" s="48">
        <f>IF((Koordinaten!$F$6-BL8)&lt;0,IF((Koordinaten!$F$5-BK8)&gt;0,360+(ATAN((Koordinaten!$F$5-BK8)/(Koordinaten!$F$6-BL8))*180/PI()),IF((Koordinaten!$F$5-BK8)&lt;0,0+(ATAN((Koordinaten!$F$5-BK8)/(Koordinaten!$F$6-BL8))*180/PI()))),IF((Koordinaten!$F$5-BK8)&lt;0,180+(ATAN((Koordinaten!$F$5-BK8)/(Koordinaten!$F$6-BL8))*180/PI()),180+(ATAN((Koordinaten!$F$5-BK8)/(Koordinaten!$F$6-BL8))*180/PI())))</f>
        <v>100.97709766474358</v>
      </c>
      <c r="BQ8" s="38">
        <f>BP8/360*6400</f>
        <v>1795.1484029287749</v>
      </c>
      <c r="BR8" s="42">
        <f>BK8+2</f>
        <v>715</v>
      </c>
      <c r="BS8" s="35">
        <f>BL8</f>
        <v>428</v>
      </c>
      <c r="BT8" s="35">
        <f>((Koordinaten!$D$5-BR8)^2+(Koordinaten!$D$6-BS8)^2)^(1/2)*10</f>
        <v>2382.8764130772706</v>
      </c>
      <c r="BU8" s="35">
        <f>VLOOKUP(Koordinaten!$E$12,Tabelle1!$G$4:$AB$8,17,FALSE)</f>
        <v>1138.6703807186213</v>
      </c>
      <c r="BV8" s="35">
        <f>IF((Koordinaten!$D$7-Koordinaten!$E$7)&gt;0,BU8+Koordinaten!$E$16,BU8-Koordinaten!$E$16)</f>
        <v>1129.5567139955901</v>
      </c>
      <c r="BW8" s="48">
        <f>IF((Koordinaten!$F$6-BS8)&lt;0,IF((Koordinaten!$F$5-BR8)&gt;0,360+(ATAN((Koordinaten!$F$5-BR8)/(Koordinaten!$F$6-BS8))*180/PI()),IF((Koordinaten!$F$5-BR8)&lt;0,0+(ATAN((Koordinaten!$F$5-BR8)/(Koordinaten!$F$6-BS8))*180/PI()))),IF((Koordinaten!$F$5-BR8)&lt;0,180+(ATAN((Koordinaten!$F$5-BR8)/(Koordinaten!$F$6-BS8))*180/PI()),180+(ATAN((Koordinaten!$F$5-BR8)/(Koordinaten!$F$6-BS8))*180/PI())))</f>
        <v>100.88552705465872</v>
      </c>
      <c r="BX8" s="38">
        <f>BW8/360*6400</f>
        <v>1793.5204809717106</v>
      </c>
      <c r="BY8" s="42">
        <f>BR8+2</f>
        <v>717</v>
      </c>
      <c r="BZ8" s="35">
        <f>BS8</f>
        <v>428</v>
      </c>
      <c r="CA8" s="35">
        <f>((Koordinaten!$D$5-BY8)^2+(Koordinaten!$D$6-BZ8)^2)^(1/2)*10</f>
        <v>2402.5195108468943</v>
      </c>
      <c r="CB8" s="35">
        <f>VLOOKUP(Koordinaten!$E$12,Tabelle1!$G$4:$AB$8,18,FALSE)</f>
        <v>1139.5600081190446</v>
      </c>
      <c r="CC8" s="35">
        <f>IF((Koordinaten!$D$7-Koordinaten!$E$7)&gt;0,CB8+Koordinaten!$E$16,CB8-Koordinaten!$E$16)</f>
        <v>1130.4463413960134</v>
      </c>
      <c r="CD8" s="48">
        <f>IF((Koordinaten!$F$6-BZ8)&lt;0,IF((Koordinaten!$F$5-BY8)&gt;0,360+(ATAN((Koordinaten!$F$5-BY8)/(Koordinaten!$F$6-BZ8))*180/PI()),IF((Koordinaten!$F$5-BY8)&lt;0,0+(ATAN((Koordinaten!$F$5-BY8)/(Koordinaten!$F$6-BZ8))*180/PI()))),IF((Koordinaten!$F$5-BY8)&lt;0,180+(ATAN((Koordinaten!$F$5-BY8)/(Koordinaten!$F$6-BZ8))*180/PI()),180+(ATAN((Koordinaten!$F$5-BY8)/(Koordinaten!$F$6-BZ8))*180/PI())))</f>
        <v>100.79545358773181</v>
      </c>
      <c r="CE8" s="38">
        <f>CD8/360*6400</f>
        <v>1791.91917489301</v>
      </c>
      <c r="CF8" s="42">
        <f>BY8+2</f>
        <v>719</v>
      </c>
      <c r="CG8" s="35">
        <f>BZ8</f>
        <v>428</v>
      </c>
      <c r="CH8" s="35">
        <f>((Koordinaten!$D$5-CF8)^2+(Koordinaten!$D$6-CG8)^2)^(1/2)*10</f>
        <v>2422.1684499637922</v>
      </c>
      <c r="CI8" s="35">
        <f>VLOOKUP(Koordinaten!$E$12,Tabelle1!$G$4:$AB$8,19,FALSE)</f>
        <v>1140.399091896883</v>
      </c>
      <c r="CJ8" s="35">
        <f>IF((Koordinaten!$D$7-Koordinaten!$E$7)&gt;0,CI8+Koordinaten!$E$16,CI8-Koordinaten!$E$16)</f>
        <v>1131.2854251738518</v>
      </c>
      <c r="CK8" s="48">
        <f>IF((Koordinaten!$F$6-CG8)&lt;0,IF((Koordinaten!$F$5-CF8)&gt;0,360+(ATAN((Koordinaten!$F$5-CF8)/(Koordinaten!$F$6-CG8))*180/PI()),IF((Koordinaten!$F$5-CF8)&lt;0,0+(ATAN((Koordinaten!$F$5-CF8)/(Koordinaten!$F$6-CG8))*180/PI()))),IF((Koordinaten!$F$5-CF8)&lt;0,180+(ATAN((Koordinaten!$F$5-CF8)/(Koordinaten!$F$6-CG8))*180/PI()),180+(ATAN((Koordinaten!$F$5-CF8)/(Koordinaten!$F$6-CG8))*180/PI())))</f>
        <v>100.70684127963969</v>
      </c>
      <c r="CL8" s="38">
        <f>CK8/360*6400</f>
        <v>1790.3438449713722</v>
      </c>
      <c r="CM8" s="42">
        <f>CF8+2</f>
        <v>721</v>
      </c>
      <c r="CN8" s="35">
        <f>CG8</f>
        <v>428</v>
      </c>
      <c r="CO8" s="35">
        <f>((Koordinaten!$D$5-CM8)^2+(Koordinaten!$D$6-CN8)^2)^(1/2)*10</f>
        <v>2441.823089414956</v>
      </c>
      <c r="CP8" s="35">
        <f>VLOOKUP(Koordinaten!$E$12,Tabelle1!$G$4:$AB$8,20,FALSE)</f>
        <v>1141.1878399808518</v>
      </c>
      <c r="CQ8" s="35">
        <f>IF((Koordinaten!$D$7-Koordinaten!$E$7)&gt;0,CP8+Koordinaten!$E$16,CP8-Koordinaten!$E$16)</f>
        <v>1132.0741732578206</v>
      </c>
      <c r="CR8" s="48">
        <f>IF((Koordinaten!$F$6-CN8)&lt;0,IF((Koordinaten!$F$5-CM8)&gt;0,360+(ATAN((Koordinaten!$F$5-CM8)/(Koordinaten!$F$6-CN8))*180/PI()),IF((Koordinaten!$F$5-CM8)&lt;0,0+(ATAN((Koordinaten!$F$5-CM8)/(Koordinaten!$F$6-CN8))*180/PI()))),IF((Koordinaten!$F$5-CM8)&lt;0,180+(ATAN((Koordinaten!$F$5-CM8)/(Koordinaten!$F$6-CN8))*180/PI()),180+(ATAN((Koordinaten!$F$5-CM8)/(Koordinaten!$F$6-CN8))*180/PI())))</f>
        <v>100.61965527615513</v>
      </c>
      <c r="CS8" s="38">
        <f>CR8/360*6400</f>
        <v>1788.7938715760911</v>
      </c>
      <c r="CT8" s="42">
        <f>CM8+2</f>
        <v>723</v>
      </c>
      <c r="CU8" s="35">
        <f>CN8</f>
        <v>428</v>
      </c>
      <c r="CV8" s="35">
        <f>((Koordinaten!$D$5-CT8)^2+(Koordinaten!$D$6-CU8)^2)^(1/2)*10</f>
        <v>2461.483292650998</v>
      </c>
      <c r="CW8" s="35">
        <f>VLOOKUP(Koordinaten!$E$12,Tabelle1!$G$4:$AB$8,21,FALSE)</f>
        <v>1141.9264433624435</v>
      </c>
      <c r="CX8" s="35">
        <f>IF((Koordinaten!$D$7-Koordinaten!$E$7)&gt;0,CW8+Koordinaten!$E$16,CW8-Koordinaten!$E$16)</f>
        <v>1132.8127766394123</v>
      </c>
      <c r="CY8" s="48">
        <f>IF((Koordinaten!$F$6-CU8)&lt;0,IF((Koordinaten!$F$5-CT8)&gt;0,360+(ATAN((Koordinaten!$F$5-CT8)/(Koordinaten!$F$6-CU8))*180/PI()),IF((Koordinaten!$F$5-CT8)&lt;0,0+(ATAN((Koordinaten!$F$5-CT8)/(Koordinaten!$F$6-CU8))*180/PI()))),IF((Koordinaten!$F$5-CT8)&lt;0,180+(ATAN((Koordinaten!$F$5-CT8)/(Koordinaten!$F$6-CU8))*180/PI()),180+(ATAN((Koordinaten!$F$5-CT8)/(Koordinaten!$F$6-CU8))*180/PI())))</f>
        <v>100.53386180968448</v>
      </c>
      <c r="CZ8" s="38">
        <f>CY8/360*6400</f>
        <v>1787.2686543943908</v>
      </c>
      <c r="DA8" s="42">
        <f>CT8+2</f>
        <v>725</v>
      </c>
      <c r="DB8" s="35">
        <f>CU8</f>
        <v>428</v>
      </c>
      <c r="DC8" s="35">
        <f>((Koordinaten!$D$5-DA8)^2+(Koordinaten!$D$6-DB8)^2)^(1/2)*10</f>
        <v>2481.1489274124601</v>
      </c>
      <c r="DD8" s="35">
        <f>VLOOKUP(Koordinaten!$E$12,Tabelle1!$G$4:$AB$8,22,FALSE)</f>
        <v>1142.6150769578899</v>
      </c>
      <c r="DE8" s="35">
        <f>IF((Koordinaten!$D$7-Koordinaten!$E$7)&gt;0,DD8+Koordinaten!$E$16,DD8-Koordinaten!$E$16)</f>
        <v>1133.5014102348587</v>
      </c>
      <c r="DF8" s="48">
        <f>IF((Koordinaten!$F$6-DB8)&lt;0,IF((Koordinaten!$F$5-DA8)&gt;0,360+(ATAN((Koordinaten!$F$5-DA8)/(Koordinaten!$F$6-DB8))*180/PI()),IF((Koordinaten!$F$5-DA8)&lt;0,0+(ATAN((Koordinaten!$F$5-DA8)/(Koordinaten!$F$6-DB8))*180/PI()))),IF((Koordinaten!$F$5-DA8)&lt;0,180+(ATAN((Koordinaten!$F$5-DA8)/(Koordinaten!$F$6-DB8))*180/PI()),180+(ATAN((Koordinaten!$F$5-DA8)/(Koordinaten!$F$6-DB8))*180/PI())))</f>
        <v>100.44942815776925</v>
      </c>
      <c r="DG8" s="38">
        <f>DF8/360*6400</f>
        <v>1785.7676116936755</v>
      </c>
    </row>
    <row r="9" spans="6:111" x14ac:dyDescent="0.25">
      <c r="AO9" s="44"/>
      <c r="AP9" s="42"/>
      <c r="AQ9" s="35"/>
      <c r="AR9" s="35"/>
      <c r="AS9" s="35"/>
      <c r="AT9" s="35"/>
      <c r="AU9" s="48"/>
      <c r="AV9" s="38"/>
      <c r="AW9" s="42"/>
      <c r="AX9" s="35"/>
      <c r="AY9" s="35"/>
      <c r="AZ9" s="35"/>
      <c r="BA9" s="35"/>
      <c r="BB9" s="48"/>
      <c r="BC9" s="38"/>
      <c r="BD9" s="42"/>
      <c r="BE9" s="35"/>
      <c r="BF9" s="35"/>
      <c r="BG9" s="35"/>
      <c r="BH9" s="35"/>
      <c r="BI9" s="48"/>
      <c r="BJ9" s="38"/>
      <c r="BK9" s="42"/>
      <c r="BL9" s="35"/>
      <c r="BM9" s="35"/>
      <c r="BN9" s="35"/>
      <c r="BO9" s="35"/>
      <c r="BP9" s="48"/>
      <c r="BQ9" s="38"/>
      <c r="BR9" s="42"/>
      <c r="BS9" s="35"/>
      <c r="BT9" s="35"/>
      <c r="BU9" s="35"/>
      <c r="BV9" s="35"/>
      <c r="BW9" s="48"/>
      <c r="BX9" s="38"/>
      <c r="BY9" s="42"/>
      <c r="BZ9" s="35"/>
      <c r="CA9" s="35"/>
      <c r="CB9" s="35"/>
      <c r="CC9" s="35"/>
      <c r="CD9" s="48"/>
      <c r="CE9" s="38"/>
      <c r="CF9" s="42"/>
      <c r="CG9" s="35"/>
      <c r="CH9" s="35"/>
      <c r="CI9" s="35"/>
      <c r="CJ9" s="35"/>
      <c r="CK9" s="48"/>
      <c r="CL9" s="38"/>
      <c r="CM9" s="42"/>
      <c r="CN9" s="35"/>
      <c r="CO9" s="35"/>
      <c r="CP9" s="35"/>
      <c r="CQ9" s="35"/>
      <c r="CR9" s="48"/>
      <c r="CS9" s="38"/>
      <c r="CT9" s="42"/>
      <c r="CU9" s="35"/>
      <c r="CV9" s="35"/>
      <c r="CW9" s="35"/>
      <c r="CX9" s="35"/>
      <c r="CY9" s="48"/>
      <c r="CZ9" s="38"/>
      <c r="DA9" s="42"/>
      <c r="DB9" s="35"/>
      <c r="DC9" s="35"/>
      <c r="DD9" s="35"/>
      <c r="DE9" s="35"/>
      <c r="DF9" s="48"/>
      <c r="DG9" s="38"/>
    </row>
    <row r="10" spans="6:111" x14ac:dyDescent="0.25">
      <c r="I10" s="2" t="s">
        <v>53</v>
      </c>
      <c r="AN10" s="2">
        <v>4</v>
      </c>
      <c r="AO10" s="44" t="s">
        <v>35</v>
      </c>
      <c r="AP10" s="42">
        <f>Koordinaten!$E$5</f>
        <v>707</v>
      </c>
      <c r="AQ10" s="35">
        <f>Koordinaten!$E$6</f>
        <v>428</v>
      </c>
      <c r="AR10" s="35">
        <f>((Koordinaten!$D$5-AP10)^2+(Koordinaten!$D$6-AQ10)^2)^(1/2)*10</f>
        <v>2304.3654224102565</v>
      </c>
      <c r="AS10" s="35">
        <f>VLOOKUP(Koordinaten!$E$12,Tabelle1!$G$4:$AB$8,13,FALSE)</f>
        <v>1134.6016305128551</v>
      </c>
      <c r="AT10" s="35">
        <f>IF((Koordinaten!$D$7-Koordinaten!$E$7)&gt;0,AS10+Koordinaten!$E$16,AS10-Koordinaten!$E$16)</f>
        <v>1125.4879637898239</v>
      </c>
      <c r="AU10" s="48">
        <f>IF((Koordinaten!$F$6-AQ10)&lt;0,IF((Koordinaten!$F$5-AP10)&gt;0,360+(ATAN((Koordinaten!$F$5-AP10)/(Koordinaten!$F$6-AQ10))*180/PI()),IF((Koordinaten!$F$5-AP10)&lt;0,0+(ATAN((Koordinaten!$F$5-AP10)/(Koordinaten!$F$6-AQ10))*180/PI()))),IF((Koordinaten!$F$5-AP10)&lt;0,180+(ATAN((Koordinaten!$F$5-AP10)/(Koordinaten!$F$6-AQ10))*180/PI()),180+(ATAN((Koordinaten!$F$5-AP10)/(Koordinaten!$F$6-AQ10))*180/PI())))</f>
        <v>101.26117012025017</v>
      </c>
      <c r="AV10" s="38">
        <f>AU10/360*6400</f>
        <v>1800.1985799155586</v>
      </c>
      <c r="AW10" s="42">
        <f>AP10+1.414</f>
        <v>708.41399999999999</v>
      </c>
      <c r="AX10" s="35">
        <f>AQ10-1.414</f>
        <v>426.58600000000001</v>
      </c>
      <c r="AY10" s="35">
        <f>((Koordinaten!$D$5-AW10)^2+(Koordinaten!$D$6-AX10)^2)^(1/2)*10</f>
        <v>2321.0210423863027</v>
      </c>
      <c r="AZ10" s="35">
        <f>VLOOKUP(Koordinaten!$E$12,Tabelle1!$G$4:$AB$8,14,FALSE)</f>
        <v>1135.6958837596017</v>
      </c>
      <c r="BA10" s="35">
        <f>IF((Koordinaten!$D$7-Koordinaten!$E$7)&gt;0,AZ10+Koordinaten!$E$16,AZ10-Koordinaten!$E$16)</f>
        <v>1126.5822170365705</v>
      </c>
      <c r="BB10" s="48">
        <f>IF((Koordinaten!$F$6-AX10)&lt;0,IF((Koordinaten!$F$5-AW10)&gt;0,360+(ATAN((Koordinaten!$F$5-AW10)/(Koordinaten!$F$6-AX10))*180/PI()),IF((Koordinaten!$F$5-AW10)&lt;0,0+(ATAN((Koordinaten!$F$5-AW10)/(Koordinaten!$F$6-AX10))*180/PI()))),IF((Koordinaten!$F$5-AW10)&lt;0,180+(ATAN((Koordinaten!$F$5-AW10)/(Koordinaten!$F$6-AX10))*180/PI()),180+(ATAN((Koordinaten!$F$5-AW10)/(Koordinaten!$F$6-AX10))*180/PI())))</f>
        <v>101.53534132882355</v>
      </c>
      <c r="BC10" s="38">
        <f>BB10/360*6400</f>
        <v>1805.072734734641</v>
      </c>
      <c r="BD10" s="42">
        <f>AW10+1.414</f>
        <v>709.82799999999997</v>
      </c>
      <c r="BE10" s="35">
        <f>AX10-1.414</f>
        <v>425.17200000000003</v>
      </c>
      <c r="BF10" s="35">
        <f>((Koordinaten!$D$5-BD10)^2+(Koordinaten!$D$6-BE10)^2)^(1/2)*10</f>
        <v>2337.7290511947699</v>
      </c>
      <c r="BG10" s="35">
        <f>VLOOKUP(Koordinaten!$E$12,Tabelle1!$G$4:$AB$8,15,FALSE)</f>
        <v>1136.7385730837686</v>
      </c>
      <c r="BH10" s="35">
        <f>IF((Koordinaten!$D$7-Koordinaten!$E$7)&gt;0,BG10+Koordinaten!$E$16,BG10-Koordinaten!$E$16)</f>
        <v>1127.6249063607374</v>
      </c>
      <c r="BI10" s="48">
        <f>IF((Koordinaten!$F$6-BE10)&lt;0,IF((Koordinaten!$F$5-BD10)&gt;0,360+(ATAN((Koordinaten!$F$5-BD10)/(Koordinaten!$F$6-BE10))*180/PI()),IF((Koordinaten!$F$5-BD10)&lt;0,0+(ATAN((Koordinaten!$F$5-BD10)/(Koordinaten!$F$6-BE10))*180/PI()))),IF((Koordinaten!$F$5-BD10)&lt;0,180+(ATAN((Koordinaten!$F$5-BD10)/(Koordinaten!$F$6-BE10))*180/PI()),180+(ATAN((Koordinaten!$F$5-BD10)/(Koordinaten!$F$6-BE10))*180/PI())))</f>
        <v>101.80559958830926</v>
      </c>
      <c r="BJ10" s="38">
        <f>BI10/360*6400</f>
        <v>1809.8773260143869</v>
      </c>
      <c r="BK10" s="42">
        <f>BD10+1.414</f>
        <v>711.24199999999996</v>
      </c>
      <c r="BL10" s="35">
        <f>BE10-1.414</f>
        <v>423.75800000000004</v>
      </c>
      <c r="BM10" s="35">
        <f>((Koordinaten!$D$5-BK10)^2+(Koordinaten!$D$6-BL10)^2)^(1/2)*10</f>
        <v>2354.4883335451036</v>
      </c>
      <c r="BN10" s="35">
        <f>VLOOKUP(Koordinaten!$E$12,Tabelle1!$G$4:$AB$8,16,FALSE)</f>
        <v>1137.7299839115526</v>
      </c>
      <c r="BO10" s="35">
        <f>IF((Koordinaten!$D$7-Koordinaten!$E$7)&gt;0,BN10+Koordinaten!$E$16,BN10-Koordinaten!$E$16)</f>
        <v>1128.6163171885214</v>
      </c>
      <c r="BP10" s="48">
        <f>IF((Koordinaten!$F$6-BL10)&lt;0,IF((Koordinaten!$F$5-BK10)&gt;0,360+(ATAN((Koordinaten!$F$5-BK10)/(Koordinaten!$F$6-BL10))*180/PI()),IF((Koordinaten!$F$5-BK10)&lt;0,0+(ATAN((Koordinaten!$F$5-BK10)/(Koordinaten!$F$6-BL10))*180/PI()))),IF((Koordinaten!$F$5-BK10)&lt;0,180+(ATAN((Koordinaten!$F$5-BK10)/(Koordinaten!$F$6-BL10))*180/PI()),180+(ATAN((Koordinaten!$F$5-BK10)/(Koordinaten!$F$6-BL10))*180/PI())))</f>
        <v>102.07201630082861</v>
      </c>
      <c r="BQ10" s="38">
        <f>BP10/360*6400</f>
        <v>1814.613623125842</v>
      </c>
      <c r="BR10" s="42">
        <f>BK10+1.414</f>
        <v>712.65599999999995</v>
      </c>
      <c r="BS10" s="35">
        <f>BL10-1.414</f>
        <v>422.34400000000005</v>
      </c>
      <c r="BT10" s="35">
        <f>((Koordinaten!$D$5-BR10)^2+(Koordinaten!$D$6-BS10)^2)^(1/2)*10</f>
        <v>2371.2978023015153</v>
      </c>
      <c r="BU10" s="35">
        <f>VLOOKUP(Koordinaten!$E$12,Tabelle1!$G$4:$AB$8,17,FALSE)</f>
        <v>1138.6703807186213</v>
      </c>
      <c r="BV10" s="35">
        <f>IF((Koordinaten!$D$7-Koordinaten!$E$7)&gt;0,BU10+Koordinaten!$E$16,BU10-Koordinaten!$E$16)</f>
        <v>1129.5567139955901</v>
      </c>
      <c r="BW10" s="48">
        <f>IF((Koordinaten!$F$6-BS10)&lt;0,IF((Koordinaten!$F$5-BR10)&gt;0,360+(ATAN((Koordinaten!$F$5-BR10)/(Koordinaten!$F$6-BS10))*180/PI()),IF((Koordinaten!$F$5-BR10)&lt;0,0+(ATAN((Koordinaten!$F$5-BR10)/(Koordinaten!$F$6-BS10))*180/PI()))),IF((Koordinaten!$F$5-BR10)&lt;0,180+(ATAN((Koordinaten!$F$5-BR10)/(Koordinaten!$F$6-BS10))*180/PI()),180+(ATAN((Koordinaten!$F$5-BR10)/(Koordinaten!$F$6-BS10))*180/PI())))</f>
        <v>102.33466151767274</v>
      </c>
      <c r="BX10" s="38">
        <f>BW10/360*6400</f>
        <v>1819.2828714252933</v>
      </c>
      <c r="BY10" s="42">
        <f>BR10+1.414</f>
        <v>714.06999999999994</v>
      </c>
      <c r="BZ10" s="35">
        <f>BS10-1.414</f>
        <v>420.93000000000006</v>
      </c>
      <c r="CA10" s="35">
        <f>((Koordinaten!$D$5-BY10)^2+(Koordinaten!$D$6-BZ10)^2)^(1/2)*10</f>
        <v>2388.156397726078</v>
      </c>
      <c r="CB10" s="35">
        <f>VLOOKUP(Koordinaten!$E$12,Tabelle1!$G$4:$AB$8,18,FALSE)</f>
        <v>1139.5600081190446</v>
      </c>
      <c r="CC10" s="35">
        <f>IF((Koordinaten!$D$7-Koordinaten!$E$7)&gt;0,CB10+Koordinaten!$E$16,CB10-Koordinaten!$E$16)</f>
        <v>1130.4463413960134</v>
      </c>
      <c r="CD10" s="48">
        <f>IF((Koordinaten!$F$6-BZ10)&lt;0,IF((Koordinaten!$F$5-BY10)&gt;0,360+(ATAN((Koordinaten!$F$5-BY10)/(Koordinaten!$F$6-BZ10))*180/PI()),IF((Koordinaten!$F$5-BY10)&lt;0,0+(ATAN((Koordinaten!$F$5-BY10)/(Koordinaten!$F$6-BZ10))*180/PI()))),IF((Koordinaten!$F$5-BY10)&lt;0,180+(ATAN((Koordinaten!$F$5-BY10)/(Koordinaten!$F$6-BZ10))*180/PI()),180+(ATAN((Koordinaten!$F$5-BY10)/(Koordinaten!$F$6-BZ10))*180/PI())))</f>
        <v>102.5936039549748</v>
      </c>
      <c r="CE10" s="38">
        <f>CD10/360*6400</f>
        <v>1823.8862925328854</v>
      </c>
      <c r="CF10" s="42">
        <f>BY10+1.414</f>
        <v>715.48399999999992</v>
      </c>
      <c r="CG10" s="35">
        <f>BZ10-1.414</f>
        <v>419.51600000000008</v>
      </c>
      <c r="CH10" s="35">
        <f>((Koordinaten!$D$5-CF10)^2+(Koordinaten!$D$6-CG10)^2)^(1/2)*10</f>
        <v>2405.0630867401369</v>
      </c>
      <c r="CI10" s="35">
        <f>VLOOKUP(Koordinaten!$E$12,Tabelle1!$G$4:$AB$8,19,FALSE)</f>
        <v>1140.399091896883</v>
      </c>
      <c r="CJ10" s="35">
        <f>IF((Koordinaten!$D$7-Koordinaten!$E$7)&gt;0,CI10+Koordinaten!$E$16,CI10-Koordinaten!$E$16)</f>
        <v>1131.2854251738518</v>
      </c>
      <c r="CK10" s="48">
        <f>IF((Koordinaten!$F$6-CG10)&lt;0,IF((Koordinaten!$F$5-CF10)&gt;0,360+(ATAN((Koordinaten!$F$5-CF10)/(Koordinaten!$F$6-CG10))*180/PI()),IF((Koordinaten!$F$5-CF10)&lt;0,0+(ATAN((Koordinaten!$F$5-CF10)/(Koordinaten!$F$6-CG10))*180/PI()))),IF((Koordinaten!$F$5-CF10)&lt;0,180+(ATAN((Koordinaten!$F$5-CF10)/(Koordinaten!$F$6-CG10))*180/PI()),180+(ATAN((Koordinaten!$F$5-CF10)/(Koordinaten!$F$6-CG10))*180/PI())))</f>
        <v>102.84891101016288</v>
      </c>
      <c r="CL10" s="38">
        <f>CK10/360*6400</f>
        <v>1828.425084625118</v>
      </c>
      <c r="CM10" s="42">
        <f>CF10+1.414</f>
        <v>716.89799999999991</v>
      </c>
      <c r="CN10" s="35">
        <f>CG10-1.414</f>
        <v>418.10200000000009</v>
      </c>
      <c r="CO10" s="35">
        <f>((Koordinaten!$D$5-CM10)^2+(Koordinaten!$D$6-CN10)^2)^(1/2)*10</f>
        <v>2422.0168622038937</v>
      </c>
      <c r="CP10" s="35">
        <f>VLOOKUP(Koordinaten!$E$12,Tabelle1!$G$4:$AB$8,20,FALSE)</f>
        <v>1141.1878399808518</v>
      </c>
      <c r="CQ10" s="35">
        <f>IF((Koordinaten!$D$7-Koordinaten!$E$7)&gt;0,CP10+Koordinaten!$E$16,CP10-Koordinaten!$E$16)</f>
        <v>1132.0741732578206</v>
      </c>
      <c r="CR10" s="48">
        <f>IF((Koordinaten!$F$6-CN10)&lt;0,IF((Koordinaten!$F$5-CM10)&gt;0,360+(ATAN((Koordinaten!$F$5-CM10)/(Koordinaten!$F$6-CN10))*180/PI()),IF((Koordinaten!$F$5-CM10)&lt;0,0+(ATAN((Koordinaten!$F$5-CM10)/(Koordinaten!$F$6-CN10))*180/PI()))),IF((Koordinaten!$F$5-CM10)&lt;0,180+(ATAN((Koordinaten!$F$5-CM10)/(Koordinaten!$F$6-CN10))*180/PI()),180+(ATAN((Koordinaten!$F$5-CM10)/(Koordinaten!$F$6-CN10))*180/PI())))</f>
        <v>103.10064877909628</v>
      </c>
      <c r="CS10" s="38">
        <f>CR10/360*6400</f>
        <v>1832.9004227394894</v>
      </c>
      <c r="CT10" s="42">
        <f>CM10+1.414</f>
        <v>718.3119999999999</v>
      </c>
      <c r="CU10" s="35">
        <f>CN10-1.414</f>
        <v>416.6880000000001</v>
      </c>
      <c r="CV10" s="35">
        <f>((Koordinaten!$D$5-CT10)^2+(Koordinaten!$D$6-CU10)^2)^(1/2)*10</f>
        <v>2439.0167422139589</v>
      </c>
      <c r="CW10" s="35">
        <f>VLOOKUP(Koordinaten!$E$12,Tabelle1!$G$4:$AB$8,21,FALSE)</f>
        <v>1141.9264433624435</v>
      </c>
      <c r="CX10" s="35">
        <f>IF((Koordinaten!$D$7-Koordinaten!$E$7)&gt;0,CW10+Koordinaten!$E$16,CW10-Koordinaten!$E$16)</f>
        <v>1132.8127766394123</v>
      </c>
      <c r="CY10" s="48">
        <f>IF((Koordinaten!$F$6-CU10)&lt;0,IF((Koordinaten!$F$5-CT10)&gt;0,360+(ATAN((Koordinaten!$F$5-CT10)/(Koordinaten!$F$6-CU10))*180/PI()),IF((Koordinaten!$F$5-CT10)&lt;0,0+(ATAN((Koordinaten!$F$5-CT10)/(Koordinaten!$F$6-CU10))*180/PI()))),IF((Koordinaten!$F$5-CT10)&lt;0,180+(ATAN((Koordinaten!$F$5-CT10)/(Koordinaten!$F$6-CU10))*180/PI()),180+(ATAN((Koordinaten!$F$5-CT10)/(Koordinaten!$F$6-CU10))*180/PI())))</f>
        <v>103.3488820737939</v>
      </c>
      <c r="CZ10" s="38">
        <f>CY10/360*6400</f>
        <v>1837.3134590896693</v>
      </c>
      <c r="DA10" s="42">
        <f>CT10+1.414</f>
        <v>719.72599999999989</v>
      </c>
      <c r="DB10" s="35">
        <f>CU10-1.414</f>
        <v>415.27400000000011</v>
      </c>
      <c r="DC10" s="35">
        <f>((Koordinaten!$D$5-DA10)^2+(Koordinaten!$D$6-DB10)^2)^(1/2)*10</f>
        <v>2456.0617694186753</v>
      </c>
      <c r="DD10" s="35">
        <f>VLOOKUP(Koordinaten!$E$12,Tabelle1!$G$4:$AB$8,22,FALSE)</f>
        <v>1142.6150769578899</v>
      </c>
      <c r="DE10" s="35">
        <f>IF((Koordinaten!$D$7-Koordinaten!$E$7)&gt;0,DD10+Koordinaten!$E$16,DD10-Koordinaten!$E$16)</f>
        <v>1133.5014102348587</v>
      </c>
      <c r="DF10" s="48">
        <f>IF((Koordinaten!$F$6-DB10)&lt;0,IF((Koordinaten!$F$5-DA10)&gt;0,360+(ATAN((Koordinaten!$F$5-DA10)/(Koordinaten!$F$6-DB10))*180/PI()),IF((Koordinaten!$F$5-DA10)&lt;0,0+(ATAN((Koordinaten!$F$5-DA10)/(Koordinaten!$F$6-DB10))*180/PI()))),IF((Koordinaten!$F$5-DA10)&lt;0,180+(ATAN((Koordinaten!$F$5-DA10)/(Koordinaten!$F$6-DB10))*180/PI()),180+(ATAN((Koordinaten!$F$5-DA10)/(Koordinaten!$F$6-DB10))*180/PI())))</f>
        <v>103.59367444067216</v>
      </c>
      <c r="DG10" s="38">
        <f>DF10/360*6400</f>
        <v>1841.6653233897271</v>
      </c>
    </row>
    <row r="11" spans="6:111" x14ac:dyDescent="0.25">
      <c r="F11" s="2" t="s">
        <v>10</v>
      </c>
      <c r="G11" s="2">
        <v>0</v>
      </c>
      <c r="H11" s="2">
        <f>IF(Koordinaten!$D$7-Koordinaten!$E$7&lt;0,(Koordinaten!$D$7-Koordinaten!$E$7)*(-1),Koordinaten!$D$7-Koordinaten!$E$7)</f>
        <v>50</v>
      </c>
      <c r="I11" s="6">
        <f>AH11*H11^5+AG11*H11^4+AF11*H11^3+AE11*H11^2+AD11*H11+AC11</f>
        <v>60.742047499999998</v>
      </c>
      <c r="T11" s="6"/>
      <c r="U11" s="6"/>
      <c r="V11" s="6"/>
      <c r="W11" s="6"/>
      <c r="X11" s="6"/>
      <c r="Y11" s="6"/>
      <c r="Z11" s="6"/>
      <c r="AA11" s="6"/>
      <c r="AB11" s="6"/>
      <c r="AC11" s="4">
        <v>60.058900000000001</v>
      </c>
      <c r="AD11" s="4">
        <f>-0.0397207</f>
        <v>-3.9720699999999998E-2</v>
      </c>
      <c r="AE11" s="4">
        <v>1.5226899999999999E-3</v>
      </c>
      <c r="AF11" s="4">
        <f>-0.0000102995</f>
        <v>-1.02995E-5</v>
      </c>
      <c r="AG11" s="4">
        <v>2.3983200000000001E-8</v>
      </c>
      <c r="AO11" s="44"/>
      <c r="AP11" s="42"/>
      <c r="AQ11" s="35"/>
      <c r="AR11" s="35"/>
      <c r="AS11" s="35"/>
      <c r="AT11" s="35"/>
      <c r="AU11" s="48"/>
      <c r="AV11" s="38"/>
      <c r="AW11" s="42"/>
      <c r="AX11" s="35"/>
      <c r="AY11" s="35"/>
      <c r="AZ11" s="35"/>
      <c r="BA11" s="35"/>
      <c r="BB11" s="48"/>
      <c r="BC11" s="38"/>
      <c r="BD11" s="42"/>
      <c r="BE11" s="35"/>
      <c r="BF11" s="35"/>
      <c r="BG11" s="35"/>
      <c r="BH11" s="35"/>
      <c r="BI11" s="48"/>
      <c r="BJ11" s="38"/>
      <c r="BK11" s="42"/>
      <c r="BL11" s="35"/>
      <c r="BM11" s="35"/>
      <c r="BN11" s="35"/>
      <c r="BO11" s="35"/>
      <c r="BP11" s="48"/>
      <c r="BQ11" s="38"/>
      <c r="BR11" s="42"/>
      <c r="BS11" s="35"/>
      <c r="BT11" s="35"/>
      <c r="BU11" s="35"/>
      <c r="BV11" s="35"/>
      <c r="BW11" s="48"/>
      <c r="BX11" s="38"/>
      <c r="BY11" s="42"/>
      <c r="BZ11" s="35"/>
      <c r="CA11" s="35"/>
      <c r="CB11" s="35"/>
      <c r="CC11" s="35"/>
      <c r="CD11" s="48"/>
      <c r="CE11" s="38"/>
      <c r="CF11" s="42"/>
      <c r="CG11" s="35"/>
      <c r="CH11" s="35"/>
      <c r="CI11" s="35"/>
      <c r="CJ11" s="35"/>
      <c r="CK11" s="48"/>
      <c r="CL11" s="38"/>
      <c r="CM11" s="42"/>
      <c r="CN11" s="35"/>
      <c r="CO11" s="35"/>
      <c r="CP11" s="35"/>
      <c r="CQ11" s="35"/>
      <c r="CR11" s="48"/>
      <c r="CS11" s="38"/>
      <c r="CT11" s="42"/>
      <c r="CU11" s="35"/>
      <c r="CV11" s="35"/>
      <c r="CW11" s="35"/>
      <c r="CX11" s="35"/>
      <c r="CY11" s="48"/>
      <c r="CZ11" s="38"/>
      <c r="DA11" s="42"/>
      <c r="DB11" s="35"/>
      <c r="DC11" s="35"/>
      <c r="DD11" s="35"/>
      <c r="DE11" s="35"/>
      <c r="DF11" s="48"/>
      <c r="DG11" s="38"/>
    </row>
    <row r="12" spans="6:111" x14ac:dyDescent="0.25">
      <c r="F12" s="2" t="s">
        <v>11</v>
      </c>
      <c r="G12" s="2">
        <v>1</v>
      </c>
      <c r="H12" s="2">
        <f>IF(Koordinaten!$D$7-Koordinaten!$E$7&lt;0,(Koordinaten!$D$7-Koordinaten!$E$7)*(-1),Koordinaten!$D$7-Koordinaten!$E$7)</f>
        <v>50</v>
      </c>
      <c r="I12" s="6">
        <f>AH12*H12^5+AG12*H12^4+AF12*H12^3+AE12*H12^2+AD12*H12+AC12</f>
        <v>27.046922508718751</v>
      </c>
      <c r="T12" s="6"/>
      <c r="U12" s="6"/>
      <c r="V12" s="6"/>
      <c r="W12" s="6"/>
      <c r="X12" s="6"/>
      <c r="Y12" s="6"/>
      <c r="Z12" s="6"/>
      <c r="AA12" s="6"/>
      <c r="AB12" s="6"/>
      <c r="AC12" s="2">
        <v>27</v>
      </c>
      <c r="AD12" s="5">
        <f>-0.000694771</f>
        <v>-6.9477099999999995E-4</v>
      </c>
      <c r="AE12" s="2">
        <v>3.3362499999999998E-5</v>
      </c>
      <c r="AF12" s="2">
        <f>-0.00000000956533</f>
        <v>-9.5653299999999993E-9</v>
      </c>
      <c r="AG12" s="2">
        <f>-0.0000000000907787</f>
        <v>-9.0778699999999995E-11</v>
      </c>
      <c r="AH12" s="2">
        <v>5.7093900000000004E-14</v>
      </c>
      <c r="AN12" s="2">
        <v>5</v>
      </c>
      <c r="AO12" s="44" t="s">
        <v>37</v>
      </c>
      <c r="AP12" s="42">
        <f>Koordinaten!$E$5</f>
        <v>707</v>
      </c>
      <c r="AQ12" s="35">
        <f>Koordinaten!$E$6</f>
        <v>428</v>
      </c>
      <c r="AR12" s="35">
        <f>((Koordinaten!$D$5-AP12)^2+(Koordinaten!$D$6-AQ12)^2)^(1/2)*10</f>
        <v>2304.3654224102565</v>
      </c>
      <c r="AS12" s="35">
        <f>VLOOKUP(Koordinaten!$E$12,Tabelle1!$G$4:$AB$8,13,FALSE)</f>
        <v>1134.6016305128551</v>
      </c>
      <c r="AT12" s="35">
        <f>IF((Koordinaten!$D$7-Koordinaten!$E$7)&gt;0,AS12+Koordinaten!$E$16,AS12-Koordinaten!$E$16)</f>
        <v>1125.4879637898239</v>
      </c>
      <c r="AU12" s="48">
        <f>IF((Koordinaten!$F$6-AQ12)&lt;0,IF((Koordinaten!$F$5-AP12)&gt;0,360+(ATAN((Koordinaten!$F$5-AP12)/(Koordinaten!$F$6-AQ12))*180/PI()),IF((Koordinaten!$F$5-AP12)&lt;0,0+(ATAN((Koordinaten!$F$5-AP12)/(Koordinaten!$F$6-AQ12))*180/PI()))),IF((Koordinaten!$F$5-AP12)&lt;0,180+(ATAN((Koordinaten!$F$5-AP12)/(Koordinaten!$F$6-AQ12))*180/PI()),180+(ATAN((Koordinaten!$F$5-AP12)/(Koordinaten!$F$6-AQ12))*180/PI())))</f>
        <v>101.26117012025017</v>
      </c>
      <c r="AV12" s="38">
        <f>AU12/360*6400</f>
        <v>1800.1985799155586</v>
      </c>
      <c r="AW12" s="42">
        <f>AP12</f>
        <v>707</v>
      </c>
      <c r="AX12" s="35">
        <f>AQ12-2</f>
        <v>426</v>
      </c>
      <c r="AY12" s="35">
        <f>((Koordinaten!$D$5-AW12)^2+(Koordinaten!$D$6-AX12)^2)^(1/2)*10</f>
        <v>2308.3543922023759</v>
      </c>
      <c r="AZ12" s="35">
        <f>VLOOKUP(Koordinaten!$E$12,Tabelle1!$G$4:$AB$8,14,FALSE)</f>
        <v>1135.6958837596017</v>
      </c>
      <c r="BA12" s="35">
        <f>IF((Koordinaten!$D$7-Koordinaten!$E$7)&gt;0,AZ12+Koordinaten!$E$16,AZ12-Koordinaten!$E$16)</f>
        <v>1126.5822170365705</v>
      </c>
      <c r="BB12" s="48">
        <f>IF((Koordinaten!$F$6-AX12)&lt;0,IF((Koordinaten!$F$5-AW12)&gt;0,360+(ATAN((Koordinaten!$F$5-AW12)/(Koordinaten!$F$6-AX12))*180/PI()),IF((Koordinaten!$F$5-AW12)&lt;0,0+(ATAN((Koordinaten!$F$5-AW12)/(Koordinaten!$F$6-AX12))*180/PI()))),IF((Koordinaten!$F$5-AW12)&lt;0,180+(ATAN((Koordinaten!$F$5-AW12)/(Koordinaten!$F$6-AX12))*180/PI()),180+(ATAN((Koordinaten!$F$5-AW12)/(Koordinaten!$F$6-AX12))*180/PI())))</f>
        <v>101.74803949673965</v>
      </c>
      <c r="BC12" s="38">
        <f>BB12/360*6400</f>
        <v>1808.8540354975937</v>
      </c>
      <c r="BD12" s="42">
        <f>AW12</f>
        <v>707</v>
      </c>
      <c r="BE12" s="35">
        <f>AX12-2</f>
        <v>424</v>
      </c>
      <c r="BF12" s="35">
        <f>((Koordinaten!$D$5-BD12)^2+(Koordinaten!$D$6-BE12)^2)^(1/2)*10</f>
        <v>2312.5094594401121</v>
      </c>
      <c r="BG12" s="35">
        <f>VLOOKUP(Koordinaten!$E$12,Tabelle1!$G$4:$AB$8,15,FALSE)</f>
        <v>1136.7385730837686</v>
      </c>
      <c r="BH12" s="35">
        <f>IF((Koordinaten!$D$7-Koordinaten!$E$7)&gt;0,BG12+Koordinaten!$E$16,BG12-Koordinaten!$E$16)</f>
        <v>1127.6249063607374</v>
      </c>
      <c r="BI12" s="48">
        <f>IF((Koordinaten!$F$6-BE12)&lt;0,IF((Koordinaten!$F$5-BD12)&gt;0,360+(ATAN((Koordinaten!$F$5-BD12)/(Koordinaten!$F$6-BE12))*180/PI()),IF((Koordinaten!$F$5-BD12)&lt;0,0+(ATAN((Koordinaten!$F$5-BD12)/(Koordinaten!$F$6-BE12))*180/PI()))),IF((Koordinaten!$F$5-BD12)&lt;0,180+(ATAN((Koordinaten!$F$5-BD12)/(Koordinaten!$F$6-BE12))*180/PI()),180+(ATAN((Koordinaten!$F$5-BD12)/(Koordinaten!$F$6-BE12))*180/PI())))</f>
        <v>102.23319420903631</v>
      </c>
      <c r="BJ12" s="38">
        <f>BI12/360*6400</f>
        <v>1817.4790081606457</v>
      </c>
      <c r="BK12" s="42">
        <f>BD12</f>
        <v>707</v>
      </c>
      <c r="BL12" s="35">
        <f>BE12-2</f>
        <v>422</v>
      </c>
      <c r="BM12" s="35">
        <f>((Koordinaten!$D$5-BK12)^2+(Koordinaten!$D$6-BL12)^2)^(1/2)*10</f>
        <v>2316.8297304722246</v>
      </c>
      <c r="BN12" s="35">
        <f>VLOOKUP(Koordinaten!$E$12,Tabelle1!$G$4:$AB$8,16,FALSE)</f>
        <v>1137.7299839115526</v>
      </c>
      <c r="BO12" s="35">
        <f>IF((Koordinaten!$D$7-Koordinaten!$E$7)&gt;0,BN12+Koordinaten!$E$16,BN12-Koordinaten!$E$16)</f>
        <v>1128.6163171885214</v>
      </c>
      <c r="BP12" s="48">
        <f>IF((Koordinaten!$F$6-BL12)&lt;0,IF((Koordinaten!$F$5-BK12)&gt;0,360+(ATAN((Koordinaten!$F$5-BK12)/(Koordinaten!$F$6-BL12))*180/PI()),IF((Koordinaten!$F$5-BK12)&lt;0,0+(ATAN((Koordinaten!$F$5-BK12)/(Koordinaten!$F$6-BL12))*180/PI()))),IF((Koordinaten!$F$5-BK12)&lt;0,180+(ATAN((Koordinaten!$F$5-BK12)/(Koordinaten!$F$6-BL12))*180/PI()),180+(ATAN((Koordinaten!$F$5-BK12)/(Koordinaten!$F$6-BL12))*180/PI())))</f>
        <v>102.71657410465897</v>
      </c>
      <c r="BQ12" s="38">
        <f>BP12/360*6400</f>
        <v>1826.0724285272709</v>
      </c>
      <c r="BR12" s="42">
        <f>BK12</f>
        <v>707</v>
      </c>
      <c r="BS12" s="35">
        <f>BL12-2</f>
        <v>420</v>
      </c>
      <c r="BT12" s="35">
        <f>((Koordinaten!$D$5-BR12)^2+(Koordinaten!$D$6-BS12)^2)^(1/2)*10</f>
        <v>2321.3142829009603</v>
      </c>
      <c r="BU12" s="35">
        <f>VLOOKUP(Koordinaten!$E$12,Tabelle1!$G$4:$AB$8,17,FALSE)</f>
        <v>1138.6703807186213</v>
      </c>
      <c r="BV12" s="35">
        <f>IF((Koordinaten!$D$7-Koordinaten!$E$7)&gt;0,BU12+Koordinaten!$E$16,BU12-Koordinaten!$E$16)</f>
        <v>1129.5567139955901</v>
      </c>
      <c r="BW12" s="48">
        <f>IF((Koordinaten!$F$6-BS12)&lt;0,IF((Koordinaten!$F$5-BR12)&gt;0,360+(ATAN((Koordinaten!$F$5-BR12)/(Koordinaten!$F$6-BS12))*180/PI()),IF((Koordinaten!$F$5-BR12)&lt;0,0+(ATAN((Koordinaten!$F$5-BR12)/(Koordinaten!$F$6-BS12))*180/PI()))),IF((Koordinaten!$F$5-BR12)&lt;0,180+(ATAN((Koordinaten!$F$5-BR12)/(Koordinaten!$F$6-BS12))*180/PI()),180+(ATAN((Koordinaten!$F$5-BR12)/(Koordinaten!$F$6-BS12))*180/PI())))</f>
        <v>103.19812048076113</v>
      </c>
      <c r="BX12" s="38">
        <f>BW12/360*6400</f>
        <v>1834.6332529913091</v>
      </c>
      <c r="BY12" s="42">
        <f>BR12</f>
        <v>707</v>
      </c>
      <c r="BZ12" s="35">
        <f>BS12-2</f>
        <v>418</v>
      </c>
      <c r="CA12" s="35">
        <f>((Koordinaten!$D$5-BY12)^2+(Koordinaten!$D$6-BZ12)^2)^(1/2)*10</f>
        <v>2325.9621665022842</v>
      </c>
      <c r="CB12" s="35">
        <f>VLOOKUP(Koordinaten!$E$12,Tabelle1!$G$4:$AB$8,18,FALSE)</f>
        <v>1139.5600081190446</v>
      </c>
      <c r="CC12" s="35">
        <f>IF((Koordinaten!$D$7-Koordinaten!$E$7)&gt;0,CB12+Koordinaten!$E$16,CB12-Koordinaten!$E$16)</f>
        <v>1130.4463413960134</v>
      </c>
      <c r="CD12" s="48">
        <f>IF((Koordinaten!$F$6-BZ12)&lt;0,IF((Koordinaten!$F$5-BY12)&gt;0,360+(ATAN((Koordinaten!$F$5-BY12)/(Koordinaten!$F$6-BZ12))*180/PI()),IF((Koordinaten!$F$5-BY12)&lt;0,0+(ATAN((Koordinaten!$F$5-BY12)/(Koordinaten!$F$6-BZ12))*180/PI()))),IF((Koordinaten!$F$5-BY12)&lt;0,180+(ATAN((Koordinaten!$F$5-BY12)/(Koordinaten!$F$6-BZ12))*180/PI()),180+(ATAN((Koordinaten!$F$5-BY12)/(Koordinaten!$F$6-BZ12))*180/PI())))</f>
        <v>103.67777611483891</v>
      </c>
      <c r="CE12" s="38">
        <f>CD12/360*6400</f>
        <v>1843.1604642638029</v>
      </c>
      <c r="CF12" s="42">
        <f>BY12</f>
        <v>707</v>
      </c>
      <c r="CG12" s="35">
        <f>BZ12-2</f>
        <v>416</v>
      </c>
      <c r="CH12" s="35">
        <f>((Koordinaten!$D$5-CF12)^2+(Koordinaten!$D$6-CG12)^2)^(1/2)*10</f>
        <v>2330.7724041613328</v>
      </c>
      <c r="CI12" s="35">
        <f>VLOOKUP(Koordinaten!$E$12,Tabelle1!$G$4:$AB$8,19,FALSE)</f>
        <v>1140.399091896883</v>
      </c>
      <c r="CJ12" s="35">
        <f>IF((Koordinaten!$D$7-Koordinaten!$E$7)&gt;0,CI12+Koordinaten!$E$16,CI12-Koordinaten!$E$16)</f>
        <v>1131.2854251738518</v>
      </c>
      <c r="CK12" s="48">
        <f>IF((Koordinaten!$F$6-CG12)&lt;0,IF((Koordinaten!$F$5-CF12)&gt;0,360+(ATAN((Koordinaten!$F$5-CF12)/(Koordinaten!$F$6-CG12))*180/PI()),IF((Koordinaten!$F$5-CF12)&lt;0,0+(ATAN((Koordinaten!$F$5-CF12)/(Koordinaten!$F$6-CG12))*180/PI()))),IF((Koordinaten!$F$5-CF12)&lt;0,180+(ATAN((Koordinaten!$F$5-CF12)/(Koordinaten!$F$6-CG12))*180/PI()),180+(ATAN((Koordinaten!$F$5-CF12)/(Koordinaten!$F$6-CG12))*180/PI())))</f>
        <v>104.15548529267679</v>
      </c>
      <c r="CL12" s="38">
        <f>CK12/360*6400</f>
        <v>1851.6530718698095</v>
      </c>
      <c r="CM12" s="42">
        <f>CF12</f>
        <v>707</v>
      </c>
      <c r="CN12" s="35">
        <f>CG12-2</f>
        <v>414</v>
      </c>
      <c r="CO12" s="35">
        <f>((Koordinaten!$D$5-CM12)^2+(Koordinaten!$D$6-CN12)^2)^(1/2)*10</f>
        <v>2335.7439928211311</v>
      </c>
      <c r="CP12" s="35">
        <f>VLOOKUP(Koordinaten!$E$12,Tabelle1!$G$4:$AB$8,20,FALSE)</f>
        <v>1141.1878399808518</v>
      </c>
      <c r="CQ12" s="35">
        <f>IF((Koordinaten!$D$7-Koordinaten!$E$7)&gt;0,CP12+Koordinaten!$E$16,CP12-Koordinaten!$E$16)</f>
        <v>1132.0741732578206</v>
      </c>
      <c r="CR12" s="48">
        <f>IF((Koordinaten!$F$6-CN12)&lt;0,IF((Koordinaten!$F$5-CM12)&gt;0,360+(ATAN((Koordinaten!$F$5-CM12)/(Koordinaten!$F$6-CN12))*180/PI()),IF((Koordinaten!$F$5-CM12)&lt;0,0+(ATAN((Koordinaten!$F$5-CM12)/(Koordinaten!$F$6-CN12))*180/PI()))),IF((Koordinaten!$F$5-CM12)&lt;0,180+(ATAN((Koordinaten!$F$5-CM12)/(Koordinaten!$F$6-CN12))*180/PI()),180+(ATAN((Koordinaten!$F$5-CM12)/(Koordinaten!$F$6-CN12))*180/PI())))</f>
        <v>104.63119383353322</v>
      </c>
      <c r="CS12" s="38">
        <f>CR12/360*6400</f>
        <v>1860.1101125961459</v>
      </c>
      <c r="CT12" s="42">
        <f>CM12</f>
        <v>707</v>
      </c>
      <c r="CU12" s="35">
        <f>CN12-2</f>
        <v>412</v>
      </c>
      <c r="CV12" s="35">
        <f>((Koordinaten!$D$5-CT12)^2+(Koordinaten!$D$6-CU12)^2)^(1/2)*10</f>
        <v>2340.8759044426088</v>
      </c>
      <c r="CW12" s="35">
        <f>VLOOKUP(Koordinaten!$E$12,Tabelle1!$G$4:$AB$8,21,FALSE)</f>
        <v>1141.9264433624435</v>
      </c>
      <c r="CX12" s="35">
        <f>IF((Koordinaten!$D$7-Koordinaten!$E$7)&gt;0,CW12+Koordinaten!$E$16,CW12-Koordinaten!$E$16)</f>
        <v>1132.8127766394123</v>
      </c>
      <c r="CY12" s="48">
        <f>IF((Koordinaten!$F$6-CU12)&lt;0,IF((Koordinaten!$F$5-CT12)&gt;0,360+(ATAN((Koordinaten!$F$5-CT12)/(Koordinaten!$F$6-CU12))*180/PI()),IF((Koordinaten!$F$5-CT12)&lt;0,0+(ATAN((Koordinaten!$F$5-CT12)/(Koordinaten!$F$6-CU12))*180/PI()))),IF((Koordinaten!$F$5-CT12)&lt;0,180+(ATAN((Koordinaten!$F$5-CT12)/(Koordinaten!$F$6-CU12))*180/PI()),180+(ATAN((Koordinaten!$F$5-CT12)/(Koordinaten!$F$6-CU12))*180/PI())))</f>
        <v>105.10484911257569</v>
      </c>
      <c r="CZ12" s="38">
        <f>CY12/360*6400</f>
        <v>1868.5306508902347</v>
      </c>
      <c r="DA12" s="42">
        <f>CT12</f>
        <v>707</v>
      </c>
      <c r="DB12" s="35">
        <f>CU12-2</f>
        <v>410</v>
      </c>
      <c r="DC12" s="35">
        <f>((Koordinaten!$D$5-DA12)^2+(Koordinaten!$D$6-DB12)^2)^(1/2)*10</f>
        <v>2346.1670869739864</v>
      </c>
      <c r="DD12" s="35">
        <f>VLOOKUP(Koordinaten!$E$12,Tabelle1!$G$4:$AB$8,22,FALSE)</f>
        <v>1142.6150769578899</v>
      </c>
      <c r="DE12" s="35">
        <f>IF((Koordinaten!$D$7-Koordinaten!$E$7)&gt;0,DD12+Koordinaten!$E$16,DD12-Koordinaten!$E$16)</f>
        <v>1133.5014102348587</v>
      </c>
      <c r="DF12" s="48">
        <f>IF((Koordinaten!$F$6-DB12)&lt;0,IF((Koordinaten!$F$5-DA12)&gt;0,360+(ATAN((Koordinaten!$F$5-DA12)/(Koordinaten!$F$6-DB12))*180/PI()),IF((Koordinaten!$F$5-DA12)&lt;0,0+(ATAN((Koordinaten!$F$5-DA12)/(Koordinaten!$F$6-DB12))*180/PI()))),IF((Koordinaten!$F$5-DA12)&lt;0,180+(ATAN((Koordinaten!$F$5-DA12)/(Koordinaten!$F$6-DB12))*180/PI()),180+(ATAN((Koordinaten!$F$5-DA12)/(Koordinaten!$F$6-DB12))*180/PI())))</f>
        <v>105.57640008058401</v>
      </c>
      <c r="DG12" s="38">
        <f>DF12/360*6400</f>
        <v>1876.9137792103822</v>
      </c>
    </row>
    <row r="13" spans="6:111" x14ac:dyDescent="0.25">
      <c r="F13" s="2" t="s">
        <v>12</v>
      </c>
      <c r="G13" s="2">
        <v>2</v>
      </c>
      <c r="H13" s="2">
        <f>IF(Koordinaten!$D$7-Koordinaten!$E$7&lt;0,(Koordinaten!$D$7-Koordinaten!$E$7)*(-1),Koordinaten!$D$7-Koordinaten!$E$7)</f>
        <v>50</v>
      </c>
      <c r="I13" s="6">
        <f>AH13*H13^5+AG13*H13^4+AF13*H13^3+AE13*H13^2+AD13*H13+AC13</f>
        <v>16.970439909374999</v>
      </c>
      <c r="T13" s="6"/>
      <c r="U13" s="6"/>
      <c r="V13" s="6"/>
      <c r="W13" s="6"/>
      <c r="X13" s="6"/>
      <c r="Y13" s="6"/>
      <c r="Z13" s="6"/>
      <c r="AA13" s="6"/>
      <c r="AB13" s="6"/>
      <c r="AC13" s="2">
        <v>17.7179</v>
      </c>
      <c r="AD13" s="5">
        <f>-0.0177179</f>
        <v>-1.7717900000000002E-2</v>
      </c>
      <c r="AE13" s="2">
        <v>5.8945900000000001E-5</v>
      </c>
      <c r="AF13" s="2">
        <f>-0.0000000730769</f>
        <v>-7.3076899999999994E-8</v>
      </c>
      <c r="AG13" s="2">
        <v>3.2763500000000003E-11</v>
      </c>
      <c r="AO13" s="44"/>
      <c r="AP13" s="42"/>
      <c r="AQ13" s="35"/>
      <c r="AR13" s="35"/>
      <c r="AS13" s="35"/>
      <c r="AT13" s="35"/>
      <c r="AU13" s="48"/>
      <c r="AV13" s="38"/>
      <c r="AW13" s="42"/>
      <c r="AX13" s="35"/>
      <c r="AY13" s="35"/>
      <c r="AZ13" s="35"/>
      <c r="BA13" s="35"/>
      <c r="BB13" s="48"/>
      <c r="BC13" s="38"/>
      <c r="BD13" s="42"/>
      <c r="BE13" s="35"/>
      <c r="BF13" s="35"/>
      <c r="BG13" s="35"/>
      <c r="BH13" s="35"/>
      <c r="BI13" s="48"/>
      <c r="BJ13" s="38"/>
      <c r="BK13" s="42"/>
      <c r="BL13" s="35"/>
      <c r="BM13" s="35"/>
      <c r="BN13" s="35"/>
      <c r="BO13" s="35"/>
      <c r="BP13" s="48"/>
      <c r="BQ13" s="38"/>
      <c r="BR13" s="42"/>
      <c r="BS13" s="35"/>
      <c r="BT13" s="35"/>
      <c r="BU13" s="35"/>
      <c r="BV13" s="35"/>
      <c r="BW13" s="48"/>
      <c r="BX13" s="38"/>
      <c r="BY13" s="42"/>
      <c r="BZ13" s="35"/>
      <c r="CA13" s="35"/>
      <c r="CB13" s="35"/>
      <c r="CC13" s="35"/>
      <c r="CD13" s="48"/>
      <c r="CE13" s="38"/>
      <c r="CF13" s="42"/>
      <c r="CG13" s="35"/>
      <c r="CH13" s="35"/>
      <c r="CI13" s="35"/>
      <c r="CJ13" s="35"/>
      <c r="CK13" s="48"/>
      <c r="CL13" s="38"/>
      <c r="CM13" s="42"/>
      <c r="CN13" s="35"/>
      <c r="CO13" s="35"/>
      <c r="CP13" s="35"/>
      <c r="CQ13" s="35"/>
      <c r="CR13" s="48"/>
      <c r="CS13" s="38"/>
      <c r="CT13" s="42"/>
      <c r="CU13" s="35"/>
      <c r="CV13" s="35"/>
      <c r="CW13" s="35"/>
      <c r="CX13" s="35"/>
      <c r="CY13" s="48"/>
      <c r="CZ13" s="38"/>
      <c r="DA13" s="42"/>
      <c r="DB13" s="35"/>
      <c r="DC13" s="35"/>
      <c r="DD13" s="35"/>
      <c r="DE13" s="35"/>
      <c r="DF13" s="48"/>
      <c r="DG13" s="38"/>
    </row>
    <row r="14" spans="6:111" x14ac:dyDescent="0.25">
      <c r="F14" s="2" t="s">
        <v>13</v>
      </c>
      <c r="G14" s="2">
        <v>3</v>
      </c>
      <c r="H14" s="2">
        <f>IF(Koordinaten!$D$7-Koordinaten!$E$7&lt;0,(Koordinaten!$D$7-Koordinaten!$E$7)*(-1),Koordinaten!$D$7-Koordinaten!$E$7)</f>
        <v>50</v>
      </c>
      <c r="I14" s="6">
        <f>AH14*H14^5+AG14*H14^4+AF14*H14^3+AE14*H14^2+AD14*H14+AC14</f>
        <v>12.071724479896876</v>
      </c>
      <c r="T14" s="6"/>
      <c r="U14" s="6"/>
      <c r="V14" s="6"/>
      <c r="W14" s="6"/>
      <c r="X14" s="6"/>
      <c r="Y14" s="6"/>
      <c r="Z14" s="6"/>
      <c r="AA14" s="6"/>
      <c r="AB14" s="6"/>
      <c r="AC14" s="2">
        <v>12</v>
      </c>
      <c r="AD14" s="5">
        <v>2.01227E-3</v>
      </c>
      <c r="AE14" s="2">
        <f>-0.0000127727</f>
        <v>-1.2772700000000001E-5</v>
      </c>
      <c r="AF14" s="2">
        <v>2.5236499999999999E-8</v>
      </c>
      <c r="AG14" s="2">
        <f>-0.0000000000181257</f>
        <v>-1.8125699999999999E-11</v>
      </c>
      <c r="AH14" s="2">
        <v>4.6496699999999997E-15</v>
      </c>
      <c r="AN14" s="2">
        <v>6</v>
      </c>
      <c r="AO14" s="44" t="s">
        <v>36</v>
      </c>
      <c r="AP14" s="42">
        <f>Koordinaten!$E$5</f>
        <v>707</v>
      </c>
      <c r="AQ14" s="35">
        <f>Koordinaten!$E$6</f>
        <v>428</v>
      </c>
      <c r="AR14" s="35">
        <f>((Koordinaten!$D$5-AP14)^2+(Koordinaten!$D$6-AQ14)^2)^(1/2)*10</f>
        <v>2304.3654224102565</v>
      </c>
      <c r="AS14" s="35">
        <f>VLOOKUP(Koordinaten!$E$12,Tabelle1!$G$4:$AB$8,13,FALSE)</f>
        <v>1134.6016305128551</v>
      </c>
      <c r="AT14" s="35">
        <f>IF((Koordinaten!$D$7-Koordinaten!$E$7)&gt;0,AS14+Koordinaten!$E$16,AS14-Koordinaten!$E$16)</f>
        <v>1125.4879637898239</v>
      </c>
      <c r="AU14" s="48">
        <f>IF((Koordinaten!$F$6-AQ14)&lt;0,IF((Koordinaten!$F$5-AP14)&gt;0,360+(ATAN((Koordinaten!$F$5-AP14)/(Koordinaten!$F$6-AQ14))*180/PI()),IF((Koordinaten!$F$5-AP14)&lt;0,0+(ATAN((Koordinaten!$F$5-AP14)/(Koordinaten!$F$6-AQ14))*180/PI()))),IF((Koordinaten!$F$5-AP14)&lt;0,180+(ATAN((Koordinaten!$F$5-AP14)/(Koordinaten!$F$6-AQ14))*180/PI()),180+(ATAN((Koordinaten!$F$5-AP14)/(Koordinaten!$F$6-AQ14))*180/PI())))</f>
        <v>101.26117012025017</v>
      </c>
      <c r="AV14" s="38">
        <f>AU14/360*6400</f>
        <v>1800.1985799155586</v>
      </c>
      <c r="AW14" s="42">
        <f>AP14-1.414</f>
        <v>705.58600000000001</v>
      </c>
      <c r="AX14" s="35">
        <f>AQ14-1.414</f>
        <v>426.58600000000001</v>
      </c>
      <c r="AY14" s="35">
        <f>((Koordinaten!$D$5-AW14)^2+(Koordinaten!$D$6-AX14)^2)^(1/2)*10</f>
        <v>2293.3192274953785</v>
      </c>
      <c r="AZ14" s="35">
        <f>VLOOKUP(Koordinaten!$E$12,Tabelle1!$G$4:$AB$8,14,FALSE)</f>
        <v>1135.6958837596017</v>
      </c>
      <c r="BA14" s="35">
        <f>IF((Koordinaten!$D$7-Koordinaten!$E$7)&gt;0,AZ14+Koordinaten!$E$16,AZ14-Koordinaten!$E$16)</f>
        <v>1126.5822170365705</v>
      </c>
      <c r="BB14" s="48">
        <f>IF((Koordinaten!$F$6-AX14)&lt;0,IF((Koordinaten!$F$5-AW14)&gt;0,360+(ATAN((Koordinaten!$F$5-AW14)/(Koordinaten!$F$6-AX14))*180/PI()),IF((Koordinaten!$F$5-AW14)&lt;0,0+(ATAN((Koordinaten!$F$5-AW14)/(Koordinaten!$F$6-AX14))*180/PI()))),IF((Koordinaten!$F$5-AW14)&lt;0,180+(ATAN((Koordinaten!$F$5-AW14)/(Koordinaten!$F$6-AX14))*180/PI()),180+(ATAN((Koordinaten!$F$5-AW14)/(Koordinaten!$F$6-AX14))*180/PI())))</f>
        <v>101.67663017729487</v>
      </c>
      <c r="BC14" s="38">
        <f>BB14/360*6400</f>
        <v>1807.5845364852419</v>
      </c>
      <c r="BD14" s="42">
        <f>AW14-1.414</f>
        <v>704.17200000000003</v>
      </c>
      <c r="BE14" s="35">
        <f>AX14-1.414</f>
        <v>425.17200000000003</v>
      </c>
      <c r="BF14" s="35">
        <f>((Koordinaten!$D$5-BD14)^2+(Koordinaten!$D$6-BE14)^2)^(1/2)*10</f>
        <v>2282.3947767202762</v>
      </c>
      <c r="BG14" s="35">
        <f>VLOOKUP(Koordinaten!$E$12,Tabelle1!$G$4:$AB$8,15,FALSE)</f>
        <v>1136.7385730837686</v>
      </c>
      <c r="BH14" s="35">
        <f>IF((Koordinaten!$D$7-Koordinaten!$E$7)&gt;0,BG14+Koordinaten!$E$16,BG14-Koordinaten!$E$16)</f>
        <v>1127.6249063607374</v>
      </c>
      <c r="BI14" s="48">
        <f>IF((Koordinaten!$F$6-BE14)&lt;0,IF((Koordinaten!$F$5-BD14)&gt;0,360+(ATAN((Koordinaten!$F$5-BD14)/(Koordinaten!$F$6-BE14))*180/PI()),IF((Koordinaten!$F$5-BD14)&lt;0,0+(ATAN((Koordinaten!$F$5-BD14)/(Koordinaten!$F$6-BE14))*180/PI()))),IF((Koordinaten!$F$5-BD14)&lt;0,180+(ATAN((Koordinaten!$F$5-BD14)/(Koordinaten!$F$6-BE14))*180/PI()),180+(ATAN((Koordinaten!$F$5-BD14)/(Koordinaten!$F$6-BE14))*180/PI())))</f>
        <v>102.09608958103678</v>
      </c>
      <c r="BJ14" s="38">
        <f>BI14/360*6400</f>
        <v>1815.041592551765</v>
      </c>
      <c r="BK14" s="42">
        <f>BD14-1.414</f>
        <v>702.75800000000004</v>
      </c>
      <c r="BL14" s="35">
        <f>BE14-1.414</f>
        <v>423.75800000000004</v>
      </c>
      <c r="BM14" s="35">
        <f>((Koordinaten!$D$5-BK14)^2+(Koordinaten!$D$6-BL14)^2)^(1/2)*10</f>
        <v>2271.5938265455825</v>
      </c>
      <c r="BN14" s="35">
        <f>VLOOKUP(Koordinaten!$E$12,Tabelle1!$G$4:$AB$8,16,FALSE)</f>
        <v>1137.7299839115526</v>
      </c>
      <c r="BO14" s="35">
        <f>IF((Koordinaten!$D$7-Koordinaten!$E$7)&gt;0,BN14+Koordinaten!$E$16,BN14-Koordinaten!$E$16)</f>
        <v>1128.6163171885214</v>
      </c>
      <c r="BP14" s="48">
        <f>IF((Koordinaten!$F$6-BL14)&lt;0,IF((Koordinaten!$F$5-BK14)&gt;0,360+(ATAN((Koordinaten!$F$5-BK14)/(Koordinaten!$F$6-BL14))*180/PI()),IF((Koordinaten!$F$5-BK14)&lt;0,0+(ATAN((Koordinaten!$F$5-BK14)/(Koordinaten!$F$6-BL14))*180/PI()))),IF((Koordinaten!$F$5-BK14)&lt;0,180+(ATAN((Koordinaten!$F$5-BK14)/(Koordinaten!$F$6-BL14))*180/PI()),180+(ATAN((Koordinaten!$F$5-BK14)/(Koordinaten!$F$6-BL14))*180/PI())))</f>
        <v>102.51956074461656</v>
      </c>
      <c r="BQ14" s="38">
        <f>BP14/360*6400</f>
        <v>1822.5699687931833</v>
      </c>
      <c r="BR14" s="42">
        <f>BK14-1.414</f>
        <v>701.34400000000005</v>
      </c>
      <c r="BS14" s="35">
        <f>BL14-1.414</f>
        <v>422.34400000000005</v>
      </c>
      <c r="BT14" s="35">
        <f>((Koordinaten!$D$5-BR14)^2+(Koordinaten!$D$6-BS14)^2)^(1/2)*10</f>
        <v>2260.9181469482705</v>
      </c>
      <c r="BU14" s="35">
        <f>VLOOKUP(Koordinaten!$E$12,Tabelle1!$G$4:$AB$8,17,FALSE)</f>
        <v>1138.6703807186213</v>
      </c>
      <c r="BV14" s="35">
        <f>IF((Koordinaten!$D$7-Koordinaten!$E$7)&gt;0,BU14+Koordinaten!$E$16,BU14-Koordinaten!$E$16)</f>
        <v>1129.5567139955901</v>
      </c>
      <c r="BW14" s="48">
        <f>IF((Koordinaten!$F$6-BS14)&lt;0,IF((Koordinaten!$F$5-BR14)&gt;0,360+(ATAN((Koordinaten!$F$5-BR14)/(Koordinaten!$F$6-BS14))*180/PI()),IF((Koordinaten!$F$5-BR14)&lt;0,0+(ATAN((Koordinaten!$F$5-BR14)/(Koordinaten!$F$6-BS14))*180/PI()))),IF((Koordinaten!$F$5-BR14)&lt;0,180+(ATAN((Koordinaten!$F$5-BR14)/(Koordinaten!$F$6-BS14))*180/PI()),180+(ATAN((Koordinaten!$F$5-BR14)/(Koordinaten!$F$6-BS14))*180/PI())))</f>
        <v>102.94705456659582</v>
      </c>
      <c r="BX14" s="38">
        <f>BW14/360*6400</f>
        <v>1830.1698589617035</v>
      </c>
      <c r="BY14" s="42">
        <f>BR14-1.414</f>
        <v>699.93000000000006</v>
      </c>
      <c r="BZ14" s="35">
        <f>BS14-1.414</f>
        <v>420.93000000000006</v>
      </c>
      <c r="CA14" s="35">
        <f>((Koordinaten!$D$5-BY14)^2+(Koordinaten!$D$6-BZ14)^2)^(1/2)*10</f>
        <v>2250.3695207676451</v>
      </c>
      <c r="CB14" s="35">
        <f>VLOOKUP(Koordinaten!$E$12,Tabelle1!$G$4:$AB$8,18,FALSE)</f>
        <v>1139.5600081190446</v>
      </c>
      <c r="CC14" s="35">
        <f>IF((Koordinaten!$D$7-Koordinaten!$E$7)&gt;0,CB14+Koordinaten!$E$16,CB14-Koordinaten!$E$16)</f>
        <v>1130.4463413960134</v>
      </c>
      <c r="CD14" s="48">
        <f>IF((Koordinaten!$F$6-BZ14)&lt;0,IF((Koordinaten!$F$5-BY14)&gt;0,360+(ATAN((Koordinaten!$F$5-BY14)/(Koordinaten!$F$6-BZ14))*180/PI()),IF((Koordinaten!$F$5-BY14)&lt;0,0+(ATAN((Koordinaten!$F$5-BY14)/(Koordinaten!$F$6-BZ14))*180/PI()))),IF((Koordinaten!$F$5-BY14)&lt;0,180+(ATAN((Koordinaten!$F$5-BY14)/(Koordinaten!$F$6-BZ14))*180/PI()),180+(ATAN((Koordinaten!$F$5-BY14)/(Koordinaten!$F$6-BZ14))*180/PI())))</f>
        <v>103.37858036211198</v>
      </c>
      <c r="CE14" s="38">
        <f>CD14/360*6400</f>
        <v>1837.8414286597686</v>
      </c>
      <c r="CF14" s="42">
        <f>BY14-1.414</f>
        <v>698.51600000000008</v>
      </c>
      <c r="CG14" s="35">
        <f>BZ14-1.414</f>
        <v>419.51600000000008</v>
      </c>
      <c r="CH14" s="35">
        <f>((Koordinaten!$D$5-CF14)^2+(Koordinaten!$D$6-CG14)^2)^(1/2)*10</f>
        <v>2239.9497430076422</v>
      </c>
      <c r="CI14" s="35">
        <f>VLOOKUP(Koordinaten!$E$12,Tabelle1!$G$4:$AB$8,19,FALSE)</f>
        <v>1140.399091896883</v>
      </c>
      <c r="CJ14" s="35">
        <f>IF((Koordinaten!$D$7-Koordinaten!$E$7)&gt;0,CI14+Koordinaten!$E$16,CI14-Koordinaten!$E$16)</f>
        <v>1131.2854251738518</v>
      </c>
      <c r="CK14" s="48">
        <f>IF((Koordinaten!$F$6-CG14)&lt;0,IF((Koordinaten!$F$5-CF14)&gt;0,360+(ATAN((Koordinaten!$F$5-CF14)/(Koordinaten!$F$6-CG14))*180/PI()),IF((Koordinaten!$F$5-CF14)&lt;0,0+(ATAN((Koordinaten!$F$5-CF14)/(Koordinaten!$F$6-CG14))*180/PI()))),IF((Koordinaten!$F$5-CF14)&lt;0,180+(ATAN((Koordinaten!$F$5-CF14)/(Koordinaten!$F$6-CG14))*180/PI()),180+(ATAN((Koordinaten!$F$5-CF14)/(Koordinaten!$F$6-CG14))*180/PI())))</f>
        <v>103.81414579321421</v>
      </c>
      <c r="CL14" s="38">
        <f>CK14/360*6400</f>
        <v>1845.5848141015861</v>
      </c>
      <c r="CM14" s="42">
        <f>CF14-1.414</f>
        <v>697.10200000000009</v>
      </c>
      <c r="CN14" s="35">
        <f>CG14-1.414</f>
        <v>418.10200000000009</v>
      </c>
      <c r="CO14" s="35">
        <f>((Koordinaten!$D$5-CM14)^2+(Koordinaten!$D$6-CN14)^2)^(1/2)*10</f>
        <v>2229.660620094458</v>
      </c>
      <c r="CP14" s="35">
        <f>VLOOKUP(Koordinaten!$E$12,Tabelle1!$G$4:$AB$8,20,FALSE)</f>
        <v>1141.1878399808518</v>
      </c>
      <c r="CQ14" s="35">
        <f>IF((Koordinaten!$D$7-Koordinaten!$E$7)&gt;0,CP14+Koordinaten!$E$16,CP14-Koordinaten!$E$16)</f>
        <v>1132.0741732578206</v>
      </c>
      <c r="CR14" s="48">
        <f>IF((Koordinaten!$F$6-CN14)&lt;0,IF((Koordinaten!$F$5-CM14)&gt;0,360+(ATAN((Koordinaten!$F$5-CM14)/(Koordinaten!$F$6-CN14))*180/PI()),IF((Koordinaten!$F$5-CM14)&lt;0,0+(ATAN((Koordinaten!$F$5-CM14)/(Koordinaten!$F$6-CN14))*180/PI()))),IF((Koordinaten!$F$5-CM14)&lt;0,180+(ATAN((Koordinaten!$F$5-CM14)/(Koordinaten!$F$6-CN14))*180/PI()),180+(ATAN((Koordinaten!$F$5-CM14)/(Koordinaten!$F$6-CN14))*180/PI())))</f>
        <v>104.25375679849977</v>
      </c>
      <c r="CS14" s="38">
        <f>CR14/360*6400</f>
        <v>1853.4001208622178</v>
      </c>
      <c r="CT14" s="42">
        <f>CM14-1.414</f>
        <v>695.6880000000001</v>
      </c>
      <c r="CU14" s="35">
        <f>CN14-1.414</f>
        <v>416.6880000000001</v>
      </c>
      <c r="CV14" s="35">
        <f>((Koordinaten!$D$5-CT14)^2+(Koordinaten!$D$6-CU14)^2)^(1/2)*10</f>
        <v>2219.5039690885897</v>
      </c>
      <c r="CW14" s="35">
        <f>VLOOKUP(Koordinaten!$E$12,Tabelle1!$G$4:$AB$8,21,FALSE)</f>
        <v>1141.9264433624435</v>
      </c>
      <c r="CX14" s="35">
        <f>IF((Koordinaten!$D$7-Koordinaten!$E$7)&gt;0,CW14+Koordinaten!$E$16,CW14-Koordinaten!$E$16)</f>
        <v>1132.8127766394123</v>
      </c>
      <c r="CY14" s="48">
        <f>IF((Koordinaten!$F$6-CU14)&lt;0,IF((Koordinaten!$F$5-CT14)&gt;0,360+(ATAN((Koordinaten!$F$5-CT14)/(Koordinaten!$F$6-CU14))*180/PI()),IF((Koordinaten!$F$5-CT14)&lt;0,0+(ATAN((Koordinaten!$F$5-CT14)/(Koordinaten!$F$6-CU14))*180/PI()))),IF((Koordinaten!$F$5-CT14)&lt;0,180+(ATAN((Koordinaten!$F$5-CT14)/(Koordinaten!$F$6-CU14))*180/PI()),180+(ATAN((Koordinaten!$F$5-CT14)/(Koordinaten!$F$6-CU14))*180/PI())))</f>
        <v>104.69741752218087</v>
      </c>
      <c r="CZ14" s="38">
        <f>CY14/360*6400</f>
        <v>1861.2874226165488</v>
      </c>
      <c r="DA14" s="42">
        <f>CT14-1.414</f>
        <v>694.27400000000011</v>
      </c>
      <c r="DB14" s="35">
        <f>CU14-1.414</f>
        <v>415.27400000000011</v>
      </c>
      <c r="DC14" s="35">
        <f>((Koordinaten!$D$5-DA14)^2+(Koordinaten!$D$6-DB14)^2)^(1/2)*10</f>
        <v>2209.4816168504331</v>
      </c>
      <c r="DD14" s="35">
        <f>VLOOKUP(Koordinaten!$E$12,Tabelle1!$G$4:$AB$8,22,FALSE)</f>
        <v>1142.6150769578899</v>
      </c>
      <c r="DE14" s="35">
        <f>IF((Koordinaten!$D$7-Koordinaten!$E$7)&gt;0,DD14+Koordinaten!$E$16,DD14-Koordinaten!$E$16)</f>
        <v>1133.5014102348587</v>
      </c>
      <c r="DF14" s="48">
        <f>IF((Koordinaten!$F$6-DB14)&lt;0,IF((Koordinaten!$F$5-DA14)&gt;0,360+(ATAN((Koordinaten!$F$5-DA14)/(Koordinaten!$F$6-DB14))*180/PI()),IF((Koordinaten!$F$5-DA14)&lt;0,0+(ATAN((Koordinaten!$F$5-DA14)/(Koordinaten!$F$6-DB14))*180/PI()))),IF((Koordinaten!$F$5-DA14)&lt;0,180+(ATAN((Koordinaten!$F$5-DA14)/(Koordinaten!$F$6-DB14))*180/PI()),180+(ATAN((Koordinaten!$F$5-DA14)/(Koordinaten!$F$6-DB14))*180/PI())))</f>
        <v>105.14513024272338</v>
      </c>
      <c r="DG14" s="38">
        <f>DF14/360*6400</f>
        <v>1869.246759870638</v>
      </c>
    </row>
    <row r="15" spans="6:111" x14ac:dyDescent="0.25">
      <c r="F15" s="2" t="s">
        <v>14</v>
      </c>
      <c r="G15" s="2">
        <v>4</v>
      </c>
      <c r="H15" s="2">
        <f>IF(Koordinaten!$D$7-Koordinaten!$E$7&lt;0,(Koordinaten!$D$7-Koordinaten!$E$7)*(-1),Koordinaten!$D$7-Koordinaten!$E$7)</f>
        <v>50</v>
      </c>
      <c r="I15" s="6">
        <f>AH15*H15^5+AG15*H15^4+AF15*H15^3+AE15*H15^2+AD15*H15+AC15</f>
        <v>9.1136667230312494</v>
      </c>
      <c r="T15" s="6"/>
      <c r="U15" s="6"/>
      <c r="V15" s="6"/>
      <c r="W15" s="6"/>
      <c r="X15" s="6"/>
      <c r="Y15" s="6"/>
      <c r="Z15" s="6"/>
      <c r="AA15" s="6"/>
      <c r="AB15" s="6"/>
      <c r="AC15" s="2">
        <v>8.9900199999999995</v>
      </c>
      <c r="AD15" s="5">
        <v>3.0481699999999998E-3</v>
      </c>
      <c r="AE15" s="2">
        <f>-0.0000121098</f>
        <v>-1.2109800000000001E-5</v>
      </c>
      <c r="AF15" s="2">
        <v>1.62142E-8</v>
      </c>
      <c r="AG15" s="2">
        <f>-0.0000000000823226</f>
        <v>-8.2322599999999995E-11</v>
      </c>
      <c r="AH15" s="2">
        <v>1.4857000000000001E-15</v>
      </c>
      <c r="AO15" s="44"/>
      <c r="AP15" s="42"/>
      <c r="AQ15" s="35"/>
      <c r="AR15" s="35"/>
      <c r="AS15" s="35"/>
      <c r="AT15" s="35"/>
      <c r="AU15" s="48"/>
      <c r="AV15" s="38"/>
      <c r="AW15" s="42"/>
      <c r="AX15" s="35"/>
      <c r="AY15" s="35"/>
      <c r="AZ15" s="35"/>
      <c r="BA15" s="35"/>
      <c r="BB15" s="48"/>
      <c r="BC15" s="38"/>
      <c r="BD15" s="42"/>
      <c r="BE15" s="35"/>
      <c r="BF15" s="35"/>
      <c r="BG15" s="35"/>
      <c r="BH15" s="35"/>
      <c r="BI15" s="48"/>
      <c r="BJ15" s="38"/>
      <c r="BK15" s="42"/>
      <c r="BL15" s="35"/>
      <c r="BM15" s="35"/>
      <c r="BN15" s="35"/>
      <c r="BO15" s="35"/>
      <c r="BP15" s="48"/>
      <c r="BQ15" s="38"/>
      <c r="BR15" s="42"/>
      <c r="BS15" s="35"/>
      <c r="BT15" s="35"/>
      <c r="BU15" s="35"/>
      <c r="BV15" s="35"/>
      <c r="BW15" s="48"/>
      <c r="BX15" s="38"/>
      <c r="BY15" s="42"/>
      <c r="BZ15" s="35"/>
      <c r="CA15" s="35"/>
      <c r="CB15" s="35"/>
      <c r="CC15" s="35"/>
      <c r="CD15" s="48"/>
      <c r="CE15" s="38"/>
      <c r="CF15" s="42"/>
      <c r="CG15" s="35"/>
      <c r="CH15" s="35"/>
      <c r="CI15" s="35"/>
      <c r="CJ15" s="35"/>
      <c r="CK15" s="48"/>
      <c r="CL15" s="38"/>
      <c r="CM15" s="42"/>
      <c r="CN15" s="35"/>
      <c r="CO15" s="35"/>
      <c r="CP15" s="35"/>
      <c r="CQ15" s="35"/>
      <c r="CR15" s="48"/>
      <c r="CS15" s="38"/>
      <c r="CT15" s="42"/>
      <c r="CU15" s="35"/>
      <c r="CV15" s="35"/>
      <c r="CW15" s="35"/>
      <c r="CX15" s="35"/>
      <c r="CY15" s="48"/>
      <c r="CZ15" s="38"/>
      <c r="DA15" s="42"/>
      <c r="DB15" s="35"/>
      <c r="DC15" s="35"/>
      <c r="DD15" s="35"/>
      <c r="DE15" s="35"/>
      <c r="DF15" s="48"/>
      <c r="DG15" s="38"/>
    </row>
    <row r="16" spans="6:111" x14ac:dyDescent="0.25">
      <c r="AN16" s="2">
        <v>7</v>
      </c>
      <c r="AO16" s="44" t="s">
        <v>38</v>
      </c>
      <c r="AP16" s="42">
        <f>Koordinaten!$E$5</f>
        <v>707</v>
      </c>
      <c r="AQ16" s="35">
        <f>Koordinaten!$E$6</f>
        <v>428</v>
      </c>
      <c r="AR16" s="35">
        <f>((Koordinaten!$D$5-AP16)^2+(Koordinaten!$D$6-AQ16)^2)^(1/2)*10</f>
        <v>2304.3654224102565</v>
      </c>
      <c r="AS16" s="35">
        <f>VLOOKUP(Koordinaten!$E$12,Tabelle1!$G$4:$AB$8,13,FALSE)</f>
        <v>1134.6016305128551</v>
      </c>
      <c r="AT16" s="35">
        <f>IF((Koordinaten!$D$7-Koordinaten!$E$7)&gt;0,AS16+Koordinaten!$E$16,AS16-Koordinaten!$E$16)</f>
        <v>1125.4879637898239</v>
      </c>
      <c r="AU16" s="48">
        <f>IF((Koordinaten!$F$6-AQ16)&lt;0,IF((Koordinaten!$F$5-AP16)&gt;0,360+(ATAN((Koordinaten!$F$5-AP16)/(Koordinaten!$F$6-AQ16))*180/PI()),IF((Koordinaten!$F$5-AP16)&lt;0,0+(ATAN((Koordinaten!$F$5-AP16)/(Koordinaten!$F$6-AQ16))*180/PI()))),IF((Koordinaten!$F$5-AP16)&lt;0,180+(ATAN((Koordinaten!$F$5-AP16)/(Koordinaten!$F$6-AQ16))*180/PI()),180+(ATAN((Koordinaten!$F$5-AP16)/(Koordinaten!$F$6-AQ16))*180/PI())))</f>
        <v>101.26117012025017</v>
      </c>
      <c r="AV16" s="38">
        <f>AU16/360*6400</f>
        <v>1800.1985799155586</v>
      </c>
      <c r="AW16" s="42">
        <f>AP16-2</f>
        <v>705</v>
      </c>
      <c r="AX16" s="35">
        <f>AQ16</f>
        <v>428</v>
      </c>
      <c r="AY16" s="35">
        <f>((Koordinaten!$D$5-AW16)^2+(Koordinaten!$D$6-AX16)^2)^(1/2)*10</f>
        <v>2284.7538160598397</v>
      </c>
      <c r="AZ16" s="35">
        <f>VLOOKUP(Koordinaten!$E$12,Tabelle1!$G$4:$AB$8,14,FALSE)</f>
        <v>1135.6958837596017</v>
      </c>
      <c r="BA16" s="35">
        <f>IF((Koordinaten!$D$7-Koordinaten!$E$7)&gt;0,AZ16+Koordinaten!$E$16,AZ16-Koordinaten!$E$16)</f>
        <v>1126.5822170365705</v>
      </c>
      <c r="BB16" s="48">
        <f>IF((Koordinaten!$F$6-AX16)&lt;0,IF((Koordinaten!$F$5-AW16)&gt;0,360+(ATAN((Koordinaten!$F$5-AW16)/(Koordinaten!$F$6-AX16))*180/PI()),IF((Koordinaten!$F$5-AW16)&lt;0,0+(ATAN((Koordinaten!$F$5-AW16)/(Koordinaten!$F$6-AX16))*180/PI()))),IF((Koordinaten!$F$5-AW16)&lt;0,180+(ATAN((Koordinaten!$F$5-AW16)/(Koordinaten!$F$6-AX16))*180/PI()),180+(ATAN((Koordinaten!$F$5-AW16)/(Koordinaten!$F$6-AX16))*180/PI())))</f>
        <v>101.35911338856209</v>
      </c>
      <c r="BC16" s="38">
        <f>BB16/360*6400</f>
        <v>1801.9397935744373</v>
      </c>
      <c r="BD16" s="42">
        <f>AW16-2</f>
        <v>703</v>
      </c>
      <c r="BE16" s="35">
        <f>AX16</f>
        <v>428</v>
      </c>
      <c r="BF16" s="35">
        <f>((Koordinaten!$D$5-BD16)^2+(Koordinaten!$D$6-BE16)^2)^(1/2)*10</f>
        <v>2265.1490017215206</v>
      </c>
      <c r="BG16" s="35">
        <f>VLOOKUP(Koordinaten!$E$12,Tabelle1!$G$4:$AB$8,15,FALSE)</f>
        <v>1136.7385730837686</v>
      </c>
      <c r="BH16" s="35">
        <f>IF((Koordinaten!$D$7-Koordinaten!$E$7)&gt;0,BG16+Koordinaten!$E$16,BG16-Koordinaten!$E$16)</f>
        <v>1127.6249063607374</v>
      </c>
      <c r="BI16" s="48">
        <f>IF((Koordinaten!$F$6-BE16)&lt;0,IF((Koordinaten!$F$5-BD16)&gt;0,360+(ATAN((Koordinaten!$F$5-BD16)/(Koordinaten!$F$6-BE16))*180/PI()),IF((Koordinaten!$F$5-BD16)&lt;0,0+(ATAN((Koordinaten!$F$5-BD16)/(Koordinaten!$F$6-BE16))*180/PI()))),IF((Koordinaten!$F$5-BD16)&lt;0,180+(ATAN((Koordinaten!$F$5-BD16)/(Koordinaten!$F$6-BE16))*180/PI()),180+(ATAN((Koordinaten!$F$5-BD16)/(Koordinaten!$F$6-BE16))*180/PI())))</f>
        <v>101.4587523458772</v>
      </c>
      <c r="BJ16" s="38">
        <f>BI16/360*6400</f>
        <v>1803.7111528155947</v>
      </c>
      <c r="BK16" s="42">
        <f>BD16-2</f>
        <v>701</v>
      </c>
      <c r="BL16" s="35">
        <f>BE16</f>
        <v>428</v>
      </c>
      <c r="BM16" s="35">
        <f>((Koordinaten!$D$5-BK16)^2+(Koordinaten!$D$6-BL16)^2)^(1/2)*10</f>
        <v>2245.5511572885621</v>
      </c>
      <c r="BN16" s="35">
        <f>VLOOKUP(Koordinaten!$E$12,Tabelle1!$G$4:$AB$8,16,FALSE)</f>
        <v>1137.7299839115526</v>
      </c>
      <c r="BO16" s="35">
        <f>IF((Koordinaten!$D$7-Koordinaten!$E$7)&gt;0,BN16+Koordinaten!$E$16,BN16-Koordinaten!$E$16)</f>
        <v>1128.6163171885214</v>
      </c>
      <c r="BP16" s="48">
        <f>IF((Koordinaten!$F$6-BL16)&lt;0,IF((Koordinaten!$F$5-BK16)&gt;0,360+(ATAN((Koordinaten!$F$5-BK16)/(Koordinaten!$F$6-BL16))*180/PI()),IF((Koordinaten!$F$5-BK16)&lt;0,0+(ATAN((Koordinaten!$F$5-BK16)/(Koordinaten!$F$6-BL16))*180/PI()))),IF((Koordinaten!$F$5-BK16)&lt;0,180+(ATAN((Koordinaten!$F$5-BK16)/(Koordinaten!$F$6-BL16))*180/PI()),180+(ATAN((Koordinaten!$F$5-BK16)/(Koordinaten!$F$6-BL16))*180/PI())))</f>
        <v>101.56013079421776</v>
      </c>
      <c r="BQ16" s="38">
        <f>BP16/360*6400</f>
        <v>1805.5134363416489</v>
      </c>
      <c r="BR16" s="42">
        <f>BK16-2</f>
        <v>699</v>
      </c>
      <c r="BS16" s="35">
        <f>BL16</f>
        <v>428</v>
      </c>
      <c r="BT16" s="35">
        <f>((Koordinaten!$D$5-BR16)^2+(Koordinaten!$D$6-BS16)^2)^(1/2)*10</f>
        <v>2225.9604668547013</v>
      </c>
      <c r="BU16" s="35">
        <f>VLOOKUP(Koordinaten!$E$12,Tabelle1!$G$4:$AB$8,17,FALSE)</f>
        <v>1138.6703807186213</v>
      </c>
      <c r="BV16" s="35">
        <f>IF((Koordinaten!$D$7-Koordinaten!$E$7)&gt;0,BU16+Koordinaten!$E$16,BU16-Koordinaten!$E$16)</f>
        <v>1129.5567139955901</v>
      </c>
      <c r="BW16" s="48">
        <f>IF((Koordinaten!$F$6-BS16)&lt;0,IF((Koordinaten!$F$5-BR16)&gt;0,360+(ATAN((Koordinaten!$F$5-BR16)/(Koordinaten!$F$6-BS16))*180/PI()),IF((Koordinaten!$F$5-BR16)&lt;0,0+(ATAN((Koordinaten!$F$5-BR16)/(Koordinaten!$F$6-BS16))*180/PI()))),IF((Koordinaten!$F$5-BR16)&lt;0,180+(ATAN((Koordinaten!$F$5-BR16)/(Koordinaten!$F$6-BS16))*180/PI()),180+(ATAN((Koordinaten!$F$5-BR16)/(Koordinaten!$F$6-BS16))*180/PI())))</f>
        <v>101.66329403486387</v>
      </c>
      <c r="BX16" s="38">
        <f>BW16/360*6400</f>
        <v>1807.3474495086909</v>
      </c>
      <c r="BY16" s="42">
        <f>BR16-2</f>
        <v>697</v>
      </c>
      <c r="BZ16" s="35">
        <f>BS16</f>
        <v>428</v>
      </c>
      <c r="CA16" s="35">
        <f>((Koordinaten!$D$5-BY16)^2+(Koordinaten!$D$6-BZ16)^2)^(1/2)*10</f>
        <v>2206.3771209836273</v>
      </c>
      <c r="CB16" s="35">
        <f>VLOOKUP(Koordinaten!$E$12,Tabelle1!$G$4:$AB$8,18,FALSE)</f>
        <v>1139.5600081190446</v>
      </c>
      <c r="CC16" s="35">
        <f>IF((Koordinaten!$D$7-Koordinaten!$E$7)&gt;0,CB16+Koordinaten!$E$16,CB16-Koordinaten!$E$16)</f>
        <v>1130.4463413960134</v>
      </c>
      <c r="CD16" s="48">
        <f>IF((Koordinaten!$F$6-BZ16)&lt;0,IF((Koordinaten!$F$5-BY16)&gt;0,360+(ATAN((Koordinaten!$F$5-BY16)/(Koordinaten!$F$6-BZ16))*180/PI()),IF((Koordinaten!$F$5-BY16)&lt;0,0+(ATAN((Koordinaten!$F$5-BY16)/(Koordinaten!$F$6-BZ16))*180/PI()))),IF((Koordinaten!$F$5-BY16)&lt;0,180+(ATAN((Koordinaten!$F$5-BY16)/(Koordinaten!$F$6-BZ16))*180/PI()),180+(ATAN((Koordinaten!$F$5-BY16)/(Koordinaten!$F$6-BZ16))*180/PI())))</f>
        <v>101.76828893202064</v>
      </c>
      <c r="CE16" s="38">
        <f>CD16/360*6400</f>
        <v>1809.2140254581448</v>
      </c>
      <c r="CF16" s="42">
        <f>BY16-2</f>
        <v>695</v>
      </c>
      <c r="CG16" s="35">
        <f>BZ16</f>
        <v>428</v>
      </c>
      <c r="CH16" s="35">
        <f>((Koordinaten!$D$5-CF16)^2+(Koordinaten!$D$6-CG16)^2)^(1/2)*10</f>
        <v>2186.8013169924698</v>
      </c>
      <c r="CI16" s="35">
        <f>VLOOKUP(Koordinaten!$E$12,Tabelle1!$G$4:$AB$8,19,FALSE)</f>
        <v>1140.399091896883</v>
      </c>
      <c r="CJ16" s="35">
        <f>IF((Koordinaten!$D$7-Koordinaten!$E$7)&gt;0,CI16+Koordinaten!$E$16,CI16-Koordinaten!$E$16)</f>
        <v>1131.2854251738518</v>
      </c>
      <c r="CK16" s="48">
        <f>IF((Koordinaten!$F$6-CG16)&lt;0,IF((Koordinaten!$F$5-CF16)&gt;0,360+(ATAN((Koordinaten!$F$5-CF16)/(Koordinaten!$F$6-CG16))*180/PI()),IF((Koordinaten!$F$5-CF16)&lt;0,0+(ATAN((Koordinaten!$F$5-CF16)/(Koordinaten!$F$6-CG16))*180/PI()))),IF((Koordinaten!$F$5-CF16)&lt;0,180+(ATAN((Koordinaten!$F$5-CF16)/(Koordinaten!$F$6-CG16))*180/PI()),180+(ATAN((Koordinaten!$F$5-CF16)/(Koordinaten!$F$6-CG16))*180/PI())))</f>
        <v>101.8751639797001</v>
      </c>
      <c r="CL16" s="38">
        <f>CK16/360*6400</f>
        <v>1811.1140263057796</v>
      </c>
      <c r="CM16" s="42">
        <f>CF16-2</f>
        <v>693</v>
      </c>
      <c r="CN16" s="35">
        <f>CG16</f>
        <v>428</v>
      </c>
      <c r="CO16" s="35">
        <f>((Koordinaten!$D$5-CM16)^2+(Koordinaten!$D$6-CN16)^2)^(1/2)*10</f>
        <v>2167.2332592501434</v>
      </c>
      <c r="CP16" s="35">
        <f>VLOOKUP(Koordinaten!$E$12,Tabelle1!$G$4:$AB$8,20,FALSE)</f>
        <v>1141.1878399808518</v>
      </c>
      <c r="CQ16" s="35">
        <f>IF((Koordinaten!$D$7-Koordinaten!$E$7)&gt;0,CP16+Koordinaten!$E$16,CP16-Koordinaten!$E$16)</f>
        <v>1132.0741732578206</v>
      </c>
      <c r="CR16" s="48">
        <f>IF((Koordinaten!$F$6-CN16)&lt;0,IF((Koordinaten!$F$5-CM16)&gt;0,360+(ATAN((Koordinaten!$F$5-CM16)/(Koordinaten!$F$6-CN16))*180/PI()),IF((Koordinaten!$F$5-CM16)&lt;0,0+(ATAN((Koordinaten!$F$5-CM16)/(Koordinaten!$F$6-CN16))*180/PI()))),IF((Koordinaten!$F$5-CM16)&lt;0,180+(ATAN((Koordinaten!$F$5-CM16)/(Koordinaten!$F$6-CN16))*180/PI()),180+(ATAN((Koordinaten!$F$5-CM16)/(Koordinaten!$F$6-CN16))*180/PI())))</f>
        <v>101.98396937200471</v>
      </c>
      <c r="CS16" s="38">
        <f>CR16/360*6400</f>
        <v>1813.0483443911949</v>
      </c>
      <c r="CT16" s="42">
        <f>CM16-2</f>
        <v>691</v>
      </c>
      <c r="CU16" s="35">
        <f>CN16</f>
        <v>428</v>
      </c>
      <c r="CV16" s="35">
        <f>((Koordinaten!$D$5-CT16)^2+(Koordinaten!$D$6-CU16)^2)^(1/2)*10</f>
        <v>2147.6731594914527</v>
      </c>
      <c r="CW16" s="35">
        <f>VLOOKUP(Koordinaten!$E$12,Tabelle1!$G$4:$AB$8,21,FALSE)</f>
        <v>1141.9264433624435</v>
      </c>
      <c r="CX16" s="35">
        <f>IF((Koordinaten!$D$7-Koordinaten!$E$7)&gt;0,CW16+Koordinaten!$E$16,CW16-Koordinaten!$E$16)</f>
        <v>1132.8127766394123</v>
      </c>
      <c r="CY16" s="48">
        <f>IF((Koordinaten!$F$6-CU16)&lt;0,IF((Koordinaten!$F$5-CT16)&gt;0,360+(ATAN((Koordinaten!$F$5-CT16)/(Koordinaten!$F$6-CU16))*180/PI()),IF((Koordinaten!$F$5-CT16)&lt;0,0+(ATAN((Koordinaten!$F$5-CT16)/(Koordinaten!$F$6-CU16))*180/PI()))),IF((Koordinaten!$F$5-CT16)&lt;0,180+(ATAN((Koordinaten!$F$5-CT16)/(Koordinaten!$F$6-CU16))*180/PI()),180+(ATAN((Koordinaten!$F$5-CT16)/(Koordinaten!$F$6-CU16))*180/PI())))</f>
        <v>102.0947570770121</v>
      </c>
      <c r="CZ16" s="38">
        <f>CY16/360*6400</f>
        <v>1815.0179035913261</v>
      </c>
      <c r="DA16" s="42">
        <f>CT16-2</f>
        <v>689</v>
      </c>
      <c r="DB16" s="35">
        <f>CU16</f>
        <v>428</v>
      </c>
      <c r="DC16" s="35">
        <f>((Koordinaten!$D$5-DA16)^2+(Koordinaten!$D$6-DB16)^2)^(1/2)*10</f>
        <v>2128.1212371479214</v>
      </c>
      <c r="DD16" s="35">
        <f>VLOOKUP(Koordinaten!$E$12,Tabelle1!$G$4:$AB$8,22,FALSE)</f>
        <v>1142.6150769578899</v>
      </c>
      <c r="DE16" s="35">
        <f>IF((Koordinaten!$D$7-Koordinaten!$E$7)&gt;0,DD16+Koordinaten!$E$16,DD16-Koordinaten!$E$16)</f>
        <v>1133.5014102348587</v>
      </c>
      <c r="DF16" s="48">
        <f>IF((Koordinaten!$F$6-DB16)&lt;0,IF((Koordinaten!$F$5-DA16)&gt;0,360+(ATAN((Koordinaten!$F$5-DA16)/(Koordinaten!$F$6-DB16))*180/PI()),IF((Koordinaten!$F$5-DA16)&lt;0,0+(ATAN((Koordinaten!$F$5-DA16)/(Koordinaten!$F$6-DB16))*180/PI()))),IF((Koordinaten!$F$5-DA16)&lt;0,180+(ATAN((Koordinaten!$F$5-DA16)/(Koordinaten!$F$6-DB16))*180/PI()),180+(ATAN((Koordinaten!$F$5-DA16)/(Koordinaten!$F$6-DB16))*180/PI())))</f>
        <v>102.20758091447348</v>
      </c>
      <c r="DG16" s="38">
        <f>DF16/360*6400</f>
        <v>1817.0236607017507</v>
      </c>
    </row>
    <row r="17" spans="3:111" x14ac:dyDescent="0.25">
      <c r="E17" s="2" t="s">
        <v>0</v>
      </c>
      <c r="F17" s="2" t="s">
        <v>1</v>
      </c>
      <c r="AF17" s="2" t="s">
        <v>2</v>
      </c>
      <c r="AG17" s="2" t="s">
        <v>3</v>
      </c>
      <c r="AH17" s="2" t="s">
        <v>4</v>
      </c>
      <c r="AI17" s="2" t="s">
        <v>5</v>
      </c>
      <c r="AJ17" s="2" t="s">
        <v>6</v>
      </c>
      <c r="AK17" s="2" t="s">
        <v>7</v>
      </c>
      <c r="AL17" s="2" t="s">
        <v>8</v>
      </c>
      <c r="AM17" s="2" t="s">
        <v>9</v>
      </c>
      <c r="AO17" s="44"/>
      <c r="AP17" s="42"/>
      <c r="AQ17" s="35"/>
      <c r="AR17" s="35"/>
      <c r="AS17" s="35"/>
      <c r="AT17" s="35"/>
      <c r="AU17" s="48"/>
      <c r="AV17" s="38"/>
      <c r="AW17" s="42"/>
      <c r="AX17" s="35"/>
      <c r="AY17" s="35"/>
      <c r="AZ17" s="35"/>
      <c r="BA17" s="35"/>
      <c r="BB17" s="48"/>
      <c r="BC17" s="38"/>
      <c r="BD17" s="42"/>
      <c r="BE17" s="35"/>
      <c r="BF17" s="35"/>
      <c r="BG17" s="35"/>
      <c r="BH17" s="35"/>
      <c r="BI17" s="48"/>
      <c r="BJ17" s="38"/>
      <c r="BK17" s="42"/>
      <c r="BL17" s="35"/>
      <c r="BM17" s="35"/>
      <c r="BN17" s="35"/>
      <c r="BO17" s="35"/>
      <c r="BP17" s="48"/>
      <c r="BQ17" s="38"/>
      <c r="BR17" s="42"/>
      <c r="BS17" s="35"/>
      <c r="BT17" s="35"/>
      <c r="BU17" s="35"/>
      <c r="BV17" s="35"/>
      <c r="BW17" s="48"/>
      <c r="BX17" s="38"/>
      <c r="BY17" s="42"/>
      <c r="BZ17" s="35"/>
      <c r="CA17" s="35"/>
      <c r="CB17" s="35"/>
      <c r="CC17" s="35"/>
      <c r="CD17" s="48"/>
      <c r="CE17" s="38"/>
      <c r="CF17" s="42"/>
      <c r="CG17" s="35"/>
      <c r="CH17" s="35"/>
      <c r="CI17" s="35"/>
      <c r="CJ17" s="35"/>
      <c r="CK17" s="48"/>
      <c r="CL17" s="38"/>
      <c r="CM17" s="42"/>
      <c r="CN17" s="35"/>
      <c r="CO17" s="35"/>
      <c r="CP17" s="35"/>
      <c r="CQ17" s="35"/>
      <c r="CR17" s="48"/>
      <c r="CS17" s="38"/>
      <c r="CT17" s="42"/>
      <c r="CU17" s="35"/>
      <c r="CV17" s="35"/>
      <c r="CW17" s="35"/>
      <c r="CX17" s="35"/>
      <c r="CY17" s="48"/>
      <c r="CZ17" s="38"/>
      <c r="DA17" s="42"/>
      <c r="DB17" s="35"/>
      <c r="DC17" s="35"/>
      <c r="DD17" s="35"/>
      <c r="DE17" s="35"/>
      <c r="DF17" s="48"/>
      <c r="DG17" s="38"/>
    </row>
    <row r="18" spans="3:111" x14ac:dyDescent="0.25">
      <c r="C18">
        <f>E18</f>
        <v>50</v>
      </c>
      <c r="D18" s="2">
        <v>0</v>
      </c>
      <c r="E18" s="2">
        <v>50</v>
      </c>
      <c r="F18" s="2">
        <v>1540</v>
      </c>
      <c r="G18" s="2">
        <v>13.2</v>
      </c>
      <c r="H18" s="2">
        <v>61</v>
      </c>
      <c r="AD18" s="6">
        <f t="shared" ref="AD18:AD35" si="5">AI18*C18^4+AH18*C18^3+AG18*C18^2+AF18*C18+AE18</f>
        <v>1539.3229000000001</v>
      </c>
      <c r="AE18" s="4">
        <v>1574.89</v>
      </c>
      <c r="AF18" s="4">
        <f>-0.348741</f>
        <v>-0.34874100000000002</v>
      </c>
      <c r="AG18" s="4">
        <f>-0.00885985</f>
        <v>-8.8598500000000007E-3</v>
      </c>
      <c r="AH18" s="4">
        <v>3.4656600000000003E-5</v>
      </c>
      <c r="AI18" s="4">
        <f>-0.00000005</f>
        <v>-4.9999999999999998E-8</v>
      </c>
      <c r="AN18" s="2">
        <v>8</v>
      </c>
      <c r="AO18" s="44" t="s">
        <v>39</v>
      </c>
      <c r="AP18" s="42">
        <f>Koordinaten!$E$5</f>
        <v>707</v>
      </c>
      <c r="AQ18" s="35">
        <f>Koordinaten!$E$6</f>
        <v>428</v>
      </c>
      <c r="AR18" s="35">
        <f>((Koordinaten!$D$5-AP18)^2+(Koordinaten!$D$6-AQ18)^2)^(1/2)*10</f>
        <v>2304.3654224102565</v>
      </c>
      <c r="AS18" s="35">
        <f>VLOOKUP(Koordinaten!$E$12,Tabelle1!$G$4:$AB$8,13,FALSE)</f>
        <v>1134.6016305128551</v>
      </c>
      <c r="AT18" s="35">
        <f>IF((Koordinaten!$D$7-Koordinaten!$E$7)&gt;0,AS18+Koordinaten!$E$16,AS18-Koordinaten!$E$16)</f>
        <v>1125.4879637898239</v>
      </c>
      <c r="AU18" s="48">
        <f>IF((Koordinaten!$F$6-AQ18)&lt;0,IF((Koordinaten!$F$5-AP18)&gt;0,360+(ATAN((Koordinaten!$F$5-AP18)/(Koordinaten!$F$6-AQ18))*180/PI()),IF((Koordinaten!$F$5-AP18)&lt;0,0+(ATAN((Koordinaten!$F$5-AP18)/(Koordinaten!$F$6-AQ18))*180/PI()))),IF((Koordinaten!$F$5-AP18)&lt;0,180+(ATAN((Koordinaten!$F$5-AP18)/(Koordinaten!$F$6-AQ18))*180/PI()),180+(ATAN((Koordinaten!$F$5-AP18)/(Koordinaten!$F$6-AQ18))*180/PI())))</f>
        <v>101.26117012025017</v>
      </c>
      <c r="AV18" s="38">
        <f>AU18/360*6400</f>
        <v>1800.1985799155586</v>
      </c>
      <c r="AW18" s="42">
        <f>AP18-1.414</f>
        <v>705.58600000000001</v>
      </c>
      <c r="AX18" s="35">
        <f>AQ18+1.414</f>
        <v>429.41399999999999</v>
      </c>
      <c r="AY18" s="35">
        <f>((Koordinaten!$D$5-AW18)^2+(Koordinaten!$D$6-AX18)^2)^(1/2)*10</f>
        <v>2287.7633354873051</v>
      </c>
      <c r="AZ18" s="35">
        <f>VLOOKUP(Koordinaten!$E$12,Tabelle1!$G$4:$AB$8,14,FALSE)</f>
        <v>1135.6958837596017</v>
      </c>
      <c r="BA18" s="35">
        <f>IF((Koordinaten!$D$7-Koordinaten!$E$7)&gt;0,AZ18+Koordinaten!$E$16,AZ18-Koordinaten!$E$16)</f>
        <v>1126.5822170365705</v>
      </c>
      <c r="BB18" s="48">
        <f>IF((Koordinaten!$F$6-AX18)&lt;0,IF((Koordinaten!$F$5-AW18)&gt;0,360+(ATAN((Koordinaten!$F$5-AW18)/(Koordinaten!$F$6-AX18))*180/PI()),IF((Koordinaten!$F$5-AW18)&lt;0,0+(ATAN((Koordinaten!$F$5-AW18)/(Koordinaten!$F$6-AX18))*180/PI()))),IF((Koordinaten!$F$5-AW18)&lt;0,180+(ATAN((Koordinaten!$F$5-AW18)/(Koordinaten!$F$6-AX18))*180/PI()),180+(ATAN((Koordinaten!$F$5-AW18)/(Koordinaten!$F$6-AX18))*180/PI())))</f>
        <v>100.98301319485188</v>
      </c>
      <c r="BC18" s="38">
        <f>BB18/360*6400</f>
        <v>1795.2535679084779</v>
      </c>
      <c r="BD18" s="42">
        <f>AW18-1.414</f>
        <v>704.17200000000003</v>
      </c>
      <c r="BE18" s="35">
        <f>AX18+1.414</f>
        <v>430.82799999999997</v>
      </c>
      <c r="BF18" s="35">
        <f>((Koordinaten!$D$5-BD18)^2+(Koordinaten!$D$6-BE18)^2)^(1/2)*10</f>
        <v>2271.2159555621301</v>
      </c>
      <c r="BG18" s="35">
        <f>VLOOKUP(Koordinaten!$E$12,Tabelle1!$G$4:$AB$8,15,FALSE)</f>
        <v>1136.7385730837686</v>
      </c>
      <c r="BH18" s="35">
        <f>IF((Koordinaten!$D$7-Koordinaten!$E$7)&gt;0,BG18+Koordinaten!$E$16,BG18-Koordinaten!$E$16)</f>
        <v>1127.6249063607374</v>
      </c>
      <c r="BI18" s="48">
        <f>IF((Koordinaten!$F$6-BE18)&lt;0,IF((Koordinaten!$F$5-BD18)&gt;0,360+(ATAN((Koordinaten!$F$5-BD18)/(Koordinaten!$F$6-BE18))*180/PI()),IF((Koordinaten!$F$5-BD18)&lt;0,0+(ATAN((Koordinaten!$F$5-BD18)/(Koordinaten!$F$6-BE18))*180/PI()))),IF((Koordinaten!$F$5-BD18)&lt;0,180+(ATAN((Koordinaten!$F$5-BD18)/(Koordinaten!$F$6-BE18))*180/PI()),180+(ATAN((Koordinaten!$F$5-BD18)/(Koordinaten!$F$6-BE18))*180/PI())))</f>
        <v>100.70079640548995</v>
      </c>
      <c r="BJ18" s="38">
        <f>BI18/360*6400</f>
        <v>1790.2363805420437</v>
      </c>
      <c r="BK18" s="42">
        <f>BD18-1.414</f>
        <v>702.75800000000004</v>
      </c>
      <c r="BL18" s="35">
        <f>BE18+1.414</f>
        <v>432.24199999999996</v>
      </c>
      <c r="BM18" s="35">
        <f>((Koordinaten!$D$5-BK18)^2+(Koordinaten!$D$6-BL18)^2)^(1/2)*10</f>
        <v>2254.7244871158873</v>
      </c>
      <c r="BN18" s="35">
        <f>VLOOKUP(Koordinaten!$E$12,Tabelle1!$G$4:$AB$8,16,FALSE)</f>
        <v>1137.7299839115526</v>
      </c>
      <c r="BO18" s="35">
        <f>IF((Koordinaten!$D$7-Koordinaten!$E$7)&gt;0,BN18+Koordinaten!$E$16,BN18-Koordinaten!$E$16)</f>
        <v>1128.6163171885214</v>
      </c>
      <c r="BP18" s="48">
        <f>IF((Koordinaten!$F$6-BL18)&lt;0,IF((Koordinaten!$F$5-BK18)&gt;0,360+(ATAN((Koordinaten!$F$5-BK18)/(Koordinaten!$F$6-BL18))*180/PI()),IF((Koordinaten!$F$5-BK18)&lt;0,0+(ATAN((Koordinaten!$F$5-BK18)/(Koordinaten!$F$6-BL18))*180/PI()))),IF((Koordinaten!$F$5-BK18)&lt;0,180+(ATAN((Koordinaten!$F$5-BK18)/(Koordinaten!$F$6-BL18))*180/PI()),180+(ATAN((Koordinaten!$F$5-BK18)/(Koordinaten!$F$6-BL18))*180/PI())))</f>
        <v>100.41444421296133</v>
      </c>
      <c r="BQ18" s="38">
        <f>BP18/360*6400</f>
        <v>1785.1456748970904</v>
      </c>
      <c r="BR18" s="42">
        <f>BK18-1.414</f>
        <v>701.34400000000005</v>
      </c>
      <c r="BS18" s="35">
        <f>BL18+1.414</f>
        <v>433.65599999999995</v>
      </c>
      <c r="BT18" s="35">
        <f>((Koordinaten!$D$5-BR18)^2+(Koordinaten!$D$6-BS18)^2)^(1/2)*10</f>
        <v>2238.2901659972513</v>
      </c>
      <c r="BU18" s="35">
        <f>VLOOKUP(Koordinaten!$E$12,Tabelle1!$G$4:$AB$8,17,FALSE)</f>
        <v>1138.6703807186213</v>
      </c>
      <c r="BV18" s="35">
        <f>IF((Koordinaten!$D$7-Koordinaten!$E$7)&gt;0,BU18+Koordinaten!$E$16,BU18-Koordinaten!$E$16)</f>
        <v>1129.5567139955901</v>
      </c>
      <c r="BW18" s="48">
        <f>IF((Koordinaten!$F$6-BS18)&lt;0,IF((Koordinaten!$F$5-BR18)&gt;0,360+(ATAN((Koordinaten!$F$5-BR18)/(Koordinaten!$F$6-BS18))*180/PI()),IF((Koordinaten!$F$5-BR18)&lt;0,0+(ATAN((Koordinaten!$F$5-BR18)/(Koordinaten!$F$6-BS18))*180/PI()))),IF((Koordinaten!$F$5-BR18)&lt;0,180+(ATAN((Koordinaten!$F$5-BR18)/(Koordinaten!$F$6-BS18))*180/PI()),180+(ATAN((Koordinaten!$F$5-BR18)/(Koordinaten!$F$6-BS18))*180/PI())))</f>
        <v>100.12387967459047</v>
      </c>
      <c r="BX18" s="38">
        <f>BW18/360*6400</f>
        <v>1779.9800831038303</v>
      </c>
      <c r="BY18" s="42">
        <f>BR18-1.414</f>
        <v>699.93000000000006</v>
      </c>
      <c r="BZ18" s="35">
        <f>BS18+1.414</f>
        <v>435.06999999999994</v>
      </c>
      <c r="CA18" s="35">
        <f>((Koordinaten!$D$5-BY18)^2+(Koordinaten!$D$6-BZ18)^2)^(1/2)*10</f>
        <v>2221.9142602719853</v>
      </c>
      <c r="CB18" s="35">
        <f>VLOOKUP(Koordinaten!$E$12,Tabelle1!$G$4:$AB$8,18,FALSE)</f>
        <v>1139.5600081190446</v>
      </c>
      <c r="CC18" s="35">
        <f>IF((Koordinaten!$D$7-Koordinaten!$E$7)&gt;0,CB18+Koordinaten!$E$16,CB18-Koordinaten!$E$16)</f>
        <v>1130.4463413960134</v>
      </c>
      <c r="CD18" s="48">
        <f>IF((Koordinaten!$F$6-BZ18)&lt;0,IF((Koordinaten!$F$5-BY18)&gt;0,360+(ATAN((Koordinaten!$F$5-BY18)/(Koordinaten!$F$6-BZ18))*180/PI()),IF((Koordinaten!$F$5-BY18)&lt;0,0+(ATAN((Koordinaten!$F$5-BY18)/(Koordinaten!$F$6-BZ18))*180/PI()))),IF((Koordinaten!$F$5-BY18)&lt;0,180+(ATAN((Koordinaten!$F$5-BY18)/(Koordinaten!$F$6-BZ18))*180/PI()),180+(ATAN((Koordinaten!$F$5-BY18)/(Koordinaten!$F$6-BZ18))*180/PI())))</f>
        <v>99.829024434217658</v>
      </c>
      <c r="CE18" s="38">
        <f>CD18/360*6400</f>
        <v>1774.7382121638693</v>
      </c>
      <c r="CF18" s="42">
        <f>BY18-1.414</f>
        <v>698.51600000000008</v>
      </c>
      <c r="CG18" s="35">
        <f>BZ18+1.414</f>
        <v>436.48399999999992</v>
      </c>
      <c r="CH18" s="35">
        <f>((Koordinaten!$D$5-CF18)^2+(Koordinaten!$D$6-CG18)^2)^(1/2)*10</f>
        <v>2205.5980710909239</v>
      </c>
      <c r="CI18" s="35">
        <f>VLOOKUP(Koordinaten!$E$12,Tabelle1!$G$4:$AB$8,19,FALSE)</f>
        <v>1140.399091896883</v>
      </c>
      <c r="CJ18" s="35">
        <f>IF((Koordinaten!$D$7-Koordinaten!$E$7)&gt;0,CI18+Koordinaten!$E$16,CI18-Koordinaten!$E$16)</f>
        <v>1131.2854251738518</v>
      </c>
      <c r="CK18" s="48">
        <f>IF((Koordinaten!$F$6-CG18)&lt;0,IF((Koordinaten!$F$5-CF18)&gt;0,360+(ATAN((Koordinaten!$F$5-CF18)/(Koordinaten!$F$6-CG18))*180/PI()),IF((Koordinaten!$F$5-CF18)&lt;0,0+(ATAN((Koordinaten!$F$5-CF18)/(Koordinaten!$F$6-CG18))*180/PI()))),IF((Koordinaten!$F$5-CF18)&lt;0,180+(ATAN((Koordinaten!$F$5-CF18)/(Koordinaten!$F$6-CG18))*180/PI()),180+(ATAN((Koordinaten!$F$5-CF18)/(Koordinaten!$F$6-CG18))*180/PI())))</f>
        <v>99.529798713735516</v>
      </c>
      <c r="CL18" s="38">
        <f>CK18/360*6400</f>
        <v>1769.4186437997423</v>
      </c>
      <c r="CM18" s="42">
        <f>CF18-1.414</f>
        <v>697.10200000000009</v>
      </c>
      <c r="CN18" s="35">
        <f>CG18+1.414</f>
        <v>437.89799999999991</v>
      </c>
      <c r="CO18" s="35">
        <f>((Koordinaten!$D$5-CM18)^2+(Koordinaten!$D$6-CN18)^2)^(1/2)*10</f>
        <v>2189.3429335761916</v>
      </c>
      <c r="CP18" s="35">
        <f>VLOOKUP(Koordinaten!$E$12,Tabelle1!$G$4:$AB$8,20,FALSE)</f>
        <v>1141.1878399808518</v>
      </c>
      <c r="CQ18" s="35">
        <f>IF((Koordinaten!$D$7-Koordinaten!$E$7)&gt;0,CP18+Koordinaten!$E$16,CP18-Koordinaten!$E$16)</f>
        <v>1132.0741732578206</v>
      </c>
      <c r="CR18" s="48">
        <f>IF((Koordinaten!$F$6-CN18)&lt;0,IF((Koordinaten!$F$5-CM18)&gt;0,360+(ATAN((Koordinaten!$F$5-CM18)/(Koordinaten!$F$6-CN18))*180/PI()),IF((Koordinaten!$F$5-CM18)&lt;0,0+(ATAN((Koordinaten!$F$5-CM18)/(Koordinaten!$F$6-CN18))*180/PI()))),IF((Koordinaten!$F$5-CM18)&lt;0,180+(ATAN((Koordinaten!$F$5-CM18)/(Koordinaten!$F$6-CN18))*180/PI()),180+(ATAN((Koordinaten!$F$5-CM18)/(Koordinaten!$F$6-CN18))*180/PI())))</f>
        <v>99.226121306337262</v>
      </c>
      <c r="CS18" s="38">
        <f>CR18/360*6400</f>
        <v>1764.0199343348847</v>
      </c>
      <c r="CT18" s="42">
        <f>CM18-1.414</f>
        <v>695.6880000000001</v>
      </c>
      <c r="CU18" s="35">
        <f>CN18+1.414</f>
        <v>439.3119999999999</v>
      </c>
      <c r="CV18" s="35">
        <f>((Koordinaten!$D$5-CT18)^2+(Koordinaten!$D$6-CU18)^2)^(1/2)*10</f>
        <v>2173.1502177254119</v>
      </c>
      <c r="CW18" s="35">
        <f>VLOOKUP(Koordinaten!$E$12,Tabelle1!$G$4:$AB$8,21,FALSE)</f>
        <v>1141.9264433624435</v>
      </c>
      <c r="CX18" s="35">
        <f>IF((Koordinaten!$D$7-Koordinaten!$E$7)&gt;0,CW18+Koordinaten!$E$16,CW18-Koordinaten!$E$16)</f>
        <v>1132.8127766394123</v>
      </c>
      <c r="CY18" s="48">
        <f>IF((Koordinaten!$F$6-CU18)&lt;0,IF((Koordinaten!$F$5-CT18)&gt;0,360+(ATAN((Koordinaten!$F$5-CT18)/(Koordinaten!$F$6-CU18))*180/PI()),IF((Koordinaten!$F$5-CT18)&lt;0,0+(ATAN((Koordinaten!$F$5-CT18)/(Koordinaten!$F$6-CU18))*180/PI()))),IF((Koordinaten!$F$5-CT18)&lt;0,180+(ATAN((Koordinaten!$F$5-CT18)/(Koordinaten!$F$6-CU18))*180/PI()),180+(ATAN((Koordinaten!$F$5-CT18)/(Koordinaten!$F$6-CU18))*180/PI())))</f>
        <v>98.917909571651151</v>
      </c>
      <c r="CZ18" s="38">
        <f>CY18/360*6400</f>
        <v>1758.5406146071314</v>
      </c>
      <c r="DA18" s="42">
        <f>CT18-1.414</f>
        <v>694.27400000000011</v>
      </c>
      <c r="DB18" s="35">
        <f>CU18+1.414</f>
        <v>440.72599999999989</v>
      </c>
      <c r="DC18" s="35">
        <f>((Koordinaten!$D$5-DA18)^2+(Koordinaten!$D$6-DB18)^2)^(1/2)*10</f>
        <v>2157.0213293335801</v>
      </c>
      <c r="DD18" s="35">
        <f>VLOOKUP(Koordinaten!$E$12,Tabelle1!$G$4:$AB$8,22,FALSE)</f>
        <v>1142.6150769578899</v>
      </c>
      <c r="DE18" s="35">
        <f>IF((Koordinaten!$D$7-Koordinaten!$E$7)&gt;0,DD18+Koordinaten!$E$16,DD18-Koordinaten!$E$16)</f>
        <v>1133.5014102348587</v>
      </c>
      <c r="DF18" s="48">
        <f>IF((Koordinaten!$F$6-DB18)&lt;0,IF((Koordinaten!$F$5-DA18)&gt;0,360+(ATAN((Koordinaten!$F$5-DA18)/(Koordinaten!$F$6-DB18))*180/PI()),IF((Koordinaten!$F$5-DA18)&lt;0,0+(ATAN((Koordinaten!$F$5-DA18)/(Koordinaten!$F$6-DB18))*180/PI()))),IF((Koordinaten!$F$5-DA18)&lt;0,180+(ATAN((Koordinaten!$F$5-DA18)/(Koordinaten!$F$6-DB18))*180/PI()),180+(ATAN((Koordinaten!$F$5-DA18)/(Koordinaten!$F$6-DB18))*180/PI())))</f>
        <v>98.605079432948017</v>
      </c>
      <c r="DG18" s="38">
        <f>DF18/360*6400</f>
        <v>1752.9791899190759</v>
      </c>
    </row>
    <row r="19" spans="3:111" x14ac:dyDescent="0.25">
      <c r="C19">
        <f t="shared" ref="C19:C82" si="6">E19</f>
        <v>100</v>
      </c>
      <c r="D19" s="2">
        <f>D18</f>
        <v>0</v>
      </c>
      <c r="E19" s="2">
        <f>E18+50</f>
        <v>100</v>
      </c>
      <c r="F19" s="2">
        <v>1479</v>
      </c>
      <c r="G19" s="2">
        <v>13.2</v>
      </c>
      <c r="H19" s="2">
        <v>63</v>
      </c>
      <c r="AD19" s="5">
        <f t="shared" si="5"/>
        <v>1481.0740000000001</v>
      </c>
      <c r="AE19" s="2">
        <f>AE18</f>
        <v>1574.89</v>
      </c>
      <c r="AF19" s="2">
        <f>AF18</f>
        <v>-0.34874100000000002</v>
      </c>
      <c r="AG19" s="2">
        <f>AG18</f>
        <v>-8.8598500000000007E-3</v>
      </c>
      <c r="AH19" s="2">
        <f>AH18</f>
        <v>3.4656600000000003E-5</v>
      </c>
      <c r="AI19" s="2">
        <f>AI18</f>
        <v>-4.9999999999999998E-8</v>
      </c>
      <c r="AO19" s="44"/>
      <c r="AP19" s="36"/>
      <c r="AR19" s="35"/>
      <c r="AS19" s="35"/>
      <c r="AT19" s="35"/>
      <c r="AU19" s="48"/>
      <c r="AV19" s="38"/>
      <c r="AW19" s="36"/>
      <c r="BB19" s="48"/>
      <c r="BC19" s="37"/>
      <c r="BD19" s="36"/>
      <c r="BG19" s="35"/>
      <c r="BI19" s="48"/>
      <c r="BJ19" s="37"/>
      <c r="BK19" s="36"/>
      <c r="BN19" s="35"/>
      <c r="BP19" s="48"/>
      <c r="BQ19" s="37"/>
      <c r="BR19" s="36"/>
      <c r="BU19" s="35"/>
      <c r="BW19" s="48"/>
      <c r="BX19" s="37"/>
      <c r="BY19" s="36"/>
      <c r="CB19" s="35"/>
      <c r="CD19" s="48"/>
      <c r="CE19" s="37"/>
      <c r="CF19" s="36"/>
      <c r="CI19" s="35"/>
      <c r="CK19" s="48"/>
      <c r="CL19" s="37"/>
      <c r="CM19" s="36"/>
      <c r="CP19" s="35"/>
      <c r="CR19" s="48"/>
      <c r="CS19" s="37"/>
      <c r="CT19" s="36"/>
      <c r="CW19" s="35"/>
      <c r="CY19" s="48"/>
      <c r="CZ19" s="37"/>
      <c r="DA19" s="36"/>
      <c r="DD19" s="35"/>
      <c r="DF19" s="48"/>
      <c r="DG19" s="37"/>
    </row>
    <row r="20" spans="3:111" x14ac:dyDescent="0.25">
      <c r="C20">
        <f t="shared" si="6"/>
        <v>150</v>
      </c>
      <c r="D20" s="2">
        <f t="shared" ref="D20:D25" si="7">D19</f>
        <v>0</v>
      </c>
      <c r="E20" s="2">
        <f t="shared" ref="E20:E25" si="8">E19+50</f>
        <v>150</v>
      </c>
      <c r="F20" s="2">
        <v>1416</v>
      </c>
      <c r="G20" s="2">
        <v>13</v>
      </c>
      <c r="H20" s="2">
        <v>66</v>
      </c>
      <c r="AD20" s="5">
        <f t="shared" si="5"/>
        <v>1414.8857500000001</v>
      </c>
      <c r="AE20" s="2">
        <f t="shared" ref="AE20:AE25" si="9">AE19</f>
        <v>1574.89</v>
      </c>
      <c r="AF20" s="2">
        <f t="shared" ref="AF20:AF25" si="10">AF19</f>
        <v>-0.34874100000000002</v>
      </c>
      <c r="AG20" s="2">
        <f t="shared" ref="AG20:AG25" si="11">AG19</f>
        <v>-8.8598500000000007E-3</v>
      </c>
      <c r="AH20" s="2">
        <f t="shared" ref="AH20:AH25" si="12">AH19</f>
        <v>3.4656600000000003E-5</v>
      </c>
      <c r="AI20" s="2">
        <f t="shared" ref="AI20:AI25" si="13">AI19</f>
        <v>-4.9999999999999998E-8</v>
      </c>
      <c r="AO20" s="45"/>
      <c r="AP20" s="39"/>
      <c r="AQ20" s="40"/>
      <c r="AR20" s="40"/>
      <c r="AS20" s="40"/>
      <c r="AT20" s="40"/>
      <c r="AU20" s="40"/>
      <c r="AV20" s="41"/>
      <c r="AW20" s="39"/>
      <c r="AX20" s="40"/>
      <c r="AY20" s="40"/>
      <c r="AZ20" s="40"/>
      <c r="BA20" s="40"/>
      <c r="BB20" s="40"/>
      <c r="BC20" s="41"/>
      <c r="BD20" s="39"/>
      <c r="BE20" s="40"/>
      <c r="BF20" s="40"/>
      <c r="BG20" s="40"/>
      <c r="BH20" s="40"/>
      <c r="BI20" s="40"/>
      <c r="BJ20" s="41"/>
      <c r="BK20" s="39"/>
      <c r="BL20" s="40"/>
      <c r="BM20" s="40"/>
      <c r="BN20" s="40"/>
      <c r="BO20" s="40"/>
      <c r="BP20" s="40"/>
      <c r="BQ20" s="41"/>
      <c r="BR20" s="39"/>
      <c r="BS20" s="40"/>
      <c r="BT20" s="40"/>
      <c r="BU20" s="40"/>
      <c r="BV20" s="40"/>
      <c r="BW20" s="40"/>
      <c r="BX20" s="41"/>
      <c r="BY20" s="39"/>
      <c r="BZ20" s="40"/>
      <c r="CA20" s="40"/>
      <c r="CB20" s="40"/>
      <c r="CC20" s="40"/>
      <c r="CD20" s="40"/>
      <c r="CE20" s="41"/>
      <c r="CF20" s="39"/>
      <c r="CG20" s="40"/>
      <c r="CH20" s="40"/>
      <c r="CI20" s="40"/>
      <c r="CJ20" s="40"/>
      <c r="CK20" s="40"/>
      <c r="CL20" s="41"/>
      <c r="CM20" s="39"/>
      <c r="CN20" s="40"/>
      <c r="CO20" s="40"/>
      <c r="CP20" s="40"/>
      <c r="CQ20" s="40"/>
      <c r="CR20" s="40"/>
      <c r="CS20" s="41"/>
      <c r="CT20" s="39"/>
      <c r="CU20" s="40"/>
      <c r="CV20" s="40"/>
      <c r="CW20" s="40"/>
      <c r="CX20" s="40"/>
      <c r="CY20" s="40"/>
      <c r="CZ20" s="41"/>
      <c r="DA20" s="39"/>
      <c r="DB20" s="40"/>
      <c r="DC20" s="40"/>
      <c r="DD20" s="40"/>
      <c r="DE20" s="40"/>
      <c r="DF20" s="40"/>
      <c r="DG20" s="41"/>
    </row>
    <row r="21" spans="3:111" x14ac:dyDescent="0.25">
      <c r="C21">
        <f t="shared" si="6"/>
        <v>200</v>
      </c>
      <c r="D21" s="2">
        <f t="shared" si="7"/>
        <v>0</v>
      </c>
      <c r="E21" s="2">
        <f t="shared" si="8"/>
        <v>200</v>
      </c>
      <c r="F21" s="2">
        <v>1350</v>
      </c>
      <c r="G21" s="2">
        <v>12.8</v>
      </c>
      <c r="H21" s="2">
        <v>71</v>
      </c>
      <c r="AD21" s="5">
        <f t="shared" si="5"/>
        <v>1348.0006000000001</v>
      </c>
      <c r="AE21" s="2">
        <f t="shared" si="9"/>
        <v>1574.89</v>
      </c>
      <c r="AF21" s="2">
        <f t="shared" si="10"/>
        <v>-0.34874100000000002</v>
      </c>
      <c r="AG21" s="2">
        <f t="shared" si="11"/>
        <v>-8.8598500000000007E-3</v>
      </c>
      <c r="AH21" s="2">
        <f t="shared" si="12"/>
        <v>3.4656600000000003E-5</v>
      </c>
      <c r="AI21" s="2">
        <f t="shared" si="13"/>
        <v>-4.9999999999999998E-8</v>
      </c>
    </row>
    <row r="22" spans="3:111" x14ac:dyDescent="0.25">
      <c r="C22">
        <f t="shared" si="6"/>
        <v>250</v>
      </c>
      <c r="D22" s="2">
        <f t="shared" si="7"/>
        <v>0</v>
      </c>
      <c r="E22" s="2">
        <f t="shared" si="8"/>
        <v>250</v>
      </c>
      <c r="F22" s="2">
        <v>1279</v>
      </c>
      <c r="G22" s="2">
        <v>12.6</v>
      </c>
      <c r="H22" s="2">
        <v>78</v>
      </c>
      <c r="AD22" s="5">
        <f t="shared" si="5"/>
        <v>1280.1610000000001</v>
      </c>
      <c r="AE22" s="2">
        <f t="shared" si="9"/>
        <v>1574.89</v>
      </c>
      <c r="AF22" s="2">
        <f t="shared" si="10"/>
        <v>-0.34874100000000002</v>
      </c>
      <c r="AG22" s="2">
        <f t="shared" si="11"/>
        <v>-8.8598500000000007E-3</v>
      </c>
      <c r="AH22" s="2">
        <f t="shared" si="12"/>
        <v>3.4656600000000003E-5</v>
      </c>
      <c r="AI22" s="2">
        <f t="shared" si="13"/>
        <v>-4.9999999999999998E-8</v>
      </c>
    </row>
    <row r="23" spans="3:111" x14ac:dyDescent="0.25">
      <c r="C23">
        <f t="shared" si="6"/>
        <v>300</v>
      </c>
      <c r="D23" s="2">
        <f t="shared" si="7"/>
        <v>0</v>
      </c>
      <c r="E23" s="2">
        <f t="shared" si="8"/>
        <v>300</v>
      </c>
      <c r="F23" s="2">
        <v>1201</v>
      </c>
      <c r="G23" s="2">
        <v>12.3</v>
      </c>
      <c r="H23" s="2">
        <v>95</v>
      </c>
      <c r="AD23" s="5">
        <f t="shared" si="5"/>
        <v>1203.6094000000003</v>
      </c>
      <c r="AE23" s="2">
        <f t="shared" si="9"/>
        <v>1574.89</v>
      </c>
      <c r="AF23" s="2">
        <f t="shared" si="10"/>
        <v>-0.34874100000000002</v>
      </c>
      <c r="AG23" s="2">
        <f t="shared" si="11"/>
        <v>-8.8598500000000007E-3</v>
      </c>
      <c r="AH23" s="2">
        <f t="shared" si="12"/>
        <v>3.4656600000000003E-5</v>
      </c>
      <c r="AI23" s="2">
        <f t="shared" si="13"/>
        <v>-4.9999999999999998E-8</v>
      </c>
    </row>
    <row r="24" spans="3:111" x14ac:dyDescent="0.25">
      <c r="C24">
        <f t="shared" si="6"/>
        <v>350</v>
      </c>
      <c r="D24" s="2">
        <f t="shared" si="7"/>
        <v>0</v>
      </c>
      <c r="E24" s="2">
        <f t="shared" si="8"/>
        <v>350</v>
      </c>
      <c r="F24" s="2">
        <v>1106</v>
      </c>
      <c r="G24" s="2">
        <v>11.7</v>
      </c>
      <c r="H24" s="2">
        <v>151</v>
      </c>
      <c r="AD24" s="5">
        <f t="shared" si="5"/>
        <v>1103.0882500000002</v>
      </c>
      <c r="AE24" s="2">
        <f t="shared" si="9"/>
        <v>1574.89</v>
      </c>
      <c r="AF24" s="2">
        <f t="shared" si="10"/>
        <v>-0.34874100000000002</v>
      </c>
      <c r="AG24" s="2">
        <f t="shared" si="11"/>
        <v>-8.8598500000000007E-3</v>
      </c>
      <c r="AH24" s="2">
        <f t="shared" si="12"/>
        <v>3.4656600000000003E-5</v>
      </c>
      <c r="AI24" s="2">
        <f t="shared" si="13"/>
        <v>-4.9999999999999998E-8</v>
      </c>
      <c r="AT24" t="s">
        <v>76</v>
      </c>
    </row>
    <row r="25" spans="3:111" x14ac:dyDescent="0.25">
      <c r="C25">
        <f t="shared" si="6"/>
        <v>400</v>
      </c>
      <c r="D25" s="2">
        <f t="shared" si="7"/>
        <v>0</v>
      </c>
      <c r="E25" s="2">
        <f t="shared" si="8"/>
        <v>400</v>
      </c>
      <c r="F25" s="2">
        <v>955</v>
      </c>
      <c r="G25" s="2">
        <v>10.7</v>
      </c>
      <c r="H25" s="3"/>
      <c r="I25" s="3"/>
      <c r="J25" s="3"/>
      <c r="K25" s="3"/>
      <c r="L25" s="3"/>
      <c r="M25" s="3"/>
      <c r="N25" s="3"/>
      <c r="O25" s="3"/>
      <c r="P25" s="3"/>
      <c r="Q25" s="3"/>
      <c r="U25"/>
      <c r="V25"/>
      <c r="AD25" s="5">
        <f t="shared" si="5"/>
        <v>955.84000000000037</v>
      </c>
      <c r="AE25" s="2">
        <f t="shared" si="9"/>
        <v>1574.89</v>
      </c>
      <c r="AF25" s="2">
        <f t="shared" si="10"/>
        <v>-0.34874100000000002</v>
      </c>
      <c r="AG25" s="2">
        <f t="shared" si="11"/>
        <v>-8.8598500000000007E-3</v>
      </c>
      <c r="AH25" s="2">
        <f t="shared" si="12"/>
        <v>3.4656600000000003E-5</v>
      </c>
      <c r="AI25" s="2">
        <f t="shared" si="13"/>
        <v>-4.9999999999999998E-8</v>
      </c>
      <c r="AJ25" s="3"/>
      <c r="AK25" s="3"/>
      <c r="AL25" s="3"/>
      <c r="AM25" s="3"/>
      <c r="AN25" s="3"/>
      <c r="AO25">
        <v>1</v>
      </c>
      <c r="AT25" t="s">
        <v>32</v>
      </c>
      <c r="AV25" s="46" t="s">
        <v>62</v>
      </c>
    </row>
    <row r="26" spans="3:111" x14ac:dyDescent="0.25">
      <c r="C26">
        <f t="shared" si="6"/>
        <v>100</v>
      </c>
      <c r="D26" s="2">
        <v>1</v>
      </c>
      <c r="E26" s="2">
        <v>100</v>
      </c>
      <c r="F26" s="2">
        <v>1547</v>
      </c>
      <c r="G26" s="2">
        <v>20</v>
      </c>
      <c r="H26" s="2">
        <v>28</v>
      </c>
      <c r="U26"/>
      <c r="V26"/>
      <c r="AD26" s="6">
        <f t="shared" si="5"/>
        <v>1546.1901169999999</v>
      </c>
      <c r="AE26" s="4">
        <v>1585.33</v>
      </c>
      <c r="AF26" s="4">
        <f>-0.294365</f>
        <v>-0.29436499999999999</v>
      </c>
      <c r="AG26" s="4">
        <f>-0.00115982</f>
        <v>-1.15982E-3</v>
      </c>
      <c r="AH26" s="4">
        <f>0.00000203322</f>
        <v>2.03322E-6</v>
      </c>
      <c r="AI26" s="4">
        <f>-0.00000000138403</f>
        <v>-1.38403E-9</v>
      </c>
      <c r="AO26">
        <v>2</v>
      </c>
      <c r="AT26" t="s">
        <v>33</v>
      </c>
      <c r="AV26" s="46" t="s">
        <v>63</v>
      </c>
    </row>
    <row r="27" spans="3:111" x14ac:dyDescent="0.25">
      <c r="C27">
        <f t="shared" si="6"/>
        <v>200</v>
      </c>
      <c r="D27" s="2">
        <f t="shared" ref="D27:D34" si="14">D26</f>
        <v>1</v>
      </c>
      <c r="E27" s="2">
        <f>E26+100</f>
        <v>200</v>
      </c>
      <c r="F27" s="2">
        <v>1492</v>
      </c>
      <c r="G27" s="2">
        <v>19.899999999999999</v>
      </c>
      <c r="H27" s="2">
        <v>28</v>
      </c>
      <c r="U27"/>
      <c r="V27"/>
      <c r="AD27" s="5">
        <f t="shared" si="5"/>
        <v>1494.1155119999999</v>
      </c>
      <c r="AE27" s="2">
        <f t="shared" ref="AE27:AE34" si="15">AE26</f>
        <v>1585.33</v>
      </c>
      <c r="AF27" s="2">
        <f t="shared" ref="AF27:AF34" si="16">AF26</f>
        <v>-0.29436499999999999</v>
      </c>
      <c r="AG27" s="2">
        <f t="shared" ref="AG27:AG34" si="17">AG26</f>
        <v>-1.15982E-3</v>
      </c>
      <c r="AH27" s="2">
        <f t="shared" ref="AH27:AH34" si="18">AH26</f>
        <v>2.03322E-6</v>
      </c>
      <c r="AI27" s="2">
        <f t="shared" ref="AI27:AI34" si="19">AI26</f>
        <v>-1.38403E-9</v>
      </c>
      <c r="AO27">
        <v>3</v>
      </c>
      <c r="AT27" t="s">
        <v>34</v>
      </c>
      <c r="AV27" s="46" t="s">
        <v>64</v>
      </c>
    </row>
    <row r="28" spans="3:111" x14ac:dyDescent="0.25">
      <c r="C28">
        <f t="shared" si="6"/>
        <v>300</v>
      </c>
      <c r="D28" s="2">
        <f t="shared" si="14"/>
        <v>1</v>
      </c>
      <c r="E28" s="2">
        <f t="shared" ref="E28:E91" si="20">E27+100</f>
        <v>300</v>
      </c>
      <c r="F28" s="2">
        <v>1437</v>
      </c>
      <c r="G28" s="2">
        <v>19.7</v>
      </c>
      <c r="H28" s="2">
        <v>29</v>
      </c>
      <c r="U28"/>
      <c r="V28"/>
      <c r="AD28" s="5">
        <f t="shared" si="5"/>
        <v>1436.322997</v>
      </c>
      <c r="AE28" s="2">
        <f t="shared" si="15"/>
        <v>1585.33</v>
      </c>
      <c r="AF28" s="2">
        <f t="shared" si="16"/>
        <v>-0.29436499999999999</v>
      </c>
      <c r="AG28" s="2">
        <f t="shared" si="17"/>
        <v>-1.15982E-3</v>
      </c>
      <c r="AH28" s="2">
        <f t="shared" si="18"/>
        <v>2.03322E-6</v>
      </c>
      <c r="AI28" s="2">
        <f t="shared" si="19"/>
        <v>-1.38403E-9</v>
      </c>
      <c r="AO28">
        <v>4</v>
      </c>
      <c r="AT28" t="s">
        <v>35</v>
      </c>
      <c r="AV28" s="46" t="s">
        <v>65</v>
      </c>
    </row>
    <row r="29" spans="3:111" x14ac:dyDescent="0.25">
      <c r="C29">
        <f t="shared" si="6"/>
        <v>400</v>
      </c>
      <c r="D29" s="2">
        <f t="shared" si="14"/>
        <v>1</v>
      </c>
      <c r="E29" s="2">
        <f t="shared" si="20"/>
        <v>400</v>
      </c>
      <c r="F29" s="2">
        <v>1378</v>
      </c>
      <c r="G29" s="2">
        <v>19.5</v>
      </c>
      <c r="H29" s="2">
        <v>31</v>
      </c>
      <c r="U29"/>
      <c r="V29"/>
      <c r="AD29" s="5">
        <f t="shared" si="5"/>
        <v>1376.7077119999999</v>
      </c>
      <c r="AE29" s="2">
        <f t="shared" si="15"/>
        <v>1585.33</v>
      </c>
      <c r="AF29" s="2">
        <f t="shared" si="16"/>
        <v>-0.29436499999999999</v>
      </c>
      <c r="AG29" s="2">
        <f t="shared" si="17"/>
        <v>-1.15982E-3</v>
      </c>
      <c r="AH29" s="2">
        <f t="shared" si="18"/>
        <v>2.03322E-6</v>
      </c>
      <c r="AI29" s="2">
        <f t="shared" si="19"/>
        <v>-1.38403E-9</v>
      </c>
      <c r="AO29">
        <v>5</v>
      </c>
      <c r="AT29" t="s">
        <v>37</v>
      </c>
      <c r="AV29" s="46" t="s">
        <v>66</v>
      </c>
    </row>
    <row r="30" spans="3:111" x14ac:dyDescent="0.25">
      <c r="C30">
        <f t="shared" si="6"/>
        <v>500</v>
      </c>
      <c r="D30" s="2">
        <f t="shared" si="14"/>
        <v>1</v>
      </c>
      <c r="E30" s="2">
        <f t="shared" si="20"/>
        <v>500</v>
      </c>
      <c r="F30" s="2">
        <v>1317</v>
      </c>
      <c r="G30" s="2">
        <v>19.2</v>
      </c>
      <c r="H30" s="2">
        <v>33</v>
      </c>
      <c r="U30"/>
      <c r="V30"/>
      <c r="AD30" s="5">
        <f t="shared" si="5"/>
        <v>1315.8431249999999</v>
      </c>
      <c r="AE30" s="2">
        <f t="shared" si="15"/>
        <v>1585.33</v>
      </c>
      <c r="AF30" s="2">
        <f t="shared" si="16"/>
        <v>-0.29436499999999999</v>
      </c>
      <c r="AG30" s="2">
        <f t="shared" si="17"/>
        <v>-1.15982E-3</v>
      </c>
      <c r="AH30" s="2">
        <f t="shared" si="18"/>
        <v>2.03322E-6</v>
      </c>
      <c r="AI30" s="2">
        <f t="shared" si="19"/>
        <v>-1.38403E-9</v>
      </c>
      <c r="AO30">
        <v>6</v>
      </c>
      <c r="AT30" t="s">
        <v>36</v>
      </c>
      <c r="AV30" s="46" t="s">
        <v>67</v>
      </c>
    </row>
    <row r="31" spans="3:111" x14ac:dyDescent="0.25">
      <c r="C31">
        <f t="shared" si="6"/>
        <v>600</v>
      </c>
      <c r="D31" s="2">
        <f t="shared" si="14"/>
        <v>1</v>
      </c>
      <c r="E31" s="2">
        <f t="shared" si="20"/>
        <v>600</v>
      </c>
      <c r="F31" s="2">
        <v>1249</v>
      </c>
      <c r="G31" s="2">
        <v>18.8</v>
      </c>
      <c r="H31" s="2">
        <v>35</v>
      </c>
      <c r="AD31" s="5">
        <f t="shared" si="5"/>
        <v>1250.9810319999999</v>
      </c>
      <c r="AE31" s="2">
        <f t="shared" si="15"/>
        <v>1585.33</v>
      </c>
      <c r="AF31" s="2">
        <f t="shared" si="16"/>
        <v>-0.29436499999999999</v>
      </c>
      <c r="AG31" s="2">
        <f t="shared" si="17"/>
        <v>-1.15982E-3</v>
      </c>
      <c r="AH31" s="2">
        <f t="shared" si="18"/>
        <v>2.03322E-6</v>
      </c>
      <c r="AI31" s="2">
        <f t="shared" si="19"/>
        <v>-1.38403E-9</v>
      </c>
      <c r="AO31">
        <v>7</v>
      </c>
      <c r="AT31" t="s">
        <v>38</v>
      </c>
      <c r="AV31" s="46" t="s">
        <v>68</v>
      </c>
    </row>
    <row r="32" spans="3:111" x14ac:dyDescent="0.25">
      <c r="C32">
        <f t="shared" si="6"/>
        <v>700</v>
      </c>
      <c r="D32" s="2">
        <f t="shared" si="14"/>
        <v>1</v>
      </c>
      <c r="E32" s="2">
        <f t="shared" si="20"/>
        <v>700</v>
      </c>
      <c r="F32" s="2">
        <v>1174</v>
      </c>
      <c r="G32" s="2">
        <v>18.3</v>
      </c>
      <c r="H32" s="2">
        <v>42</v>
      </c>
      <c r="AD32" s="5">
        <f t="shared" si="5"/>
        <v>1176.051557</v>
      </c>
      <c r="AE32" s="2">
        <f t="shared" si="15"/>
        <v>1585.33</v>
      </c>
      <c r="AF32" s="2">
        <f t="shared" si="16"/>
        <v>-0.29436499999999999</v>
      </c>
      <c r="AG32" s="2">
        <f t="shared" si="17"/>
        <v>-1.15982E-3</v>
      </c>
      <c r="AH32" s="2">
        <f t="shared" si="18"/>
        <v>2.03322E-6</v>
      </c>
      <c r="AI32" s="2">
        <f t="shared" si="19"/>
        <v>-1.38403E-9</v>
      </c>
      <c r="AO32">
        <v>8</v>
      </c>
      <c r="AT32" t="s">
        <v>39</v>
      </c>
      <c r="AV32" s="46" t="s">
        <v>69</v>
      </c>
    </row>
    <row r="33" spans="3:58" x14ac:dyDescent="0.25">
      <c r="C33">
        <f t="shared" si="6"/>
        <v>800</v>
      </c>
      <c r="D33" s="2">
        <f t="shared" si="14"/>
        <v>1</v>
      </c>
      <c r="E33" s="2">
        <f t="shared" si="20"/>
        <v>800</v>
      </c>
      <c r="F33" s="2">
        <v>1085</v>
      </c>
      <c r="G33" s="2">
        <v>17.5</v>
      </c>
      <c r="H33" s="2">
        <v>57</v>
      </c>
      <c r="AD33" s="5">
        <f t="shared" si="5"/>
        <v>1081.6631520000001</v>
      </c>
      <c r="AE33" s="2">
        <f t="shared" si="15"/>
        <v>1585.33</v>
      </c>
      <c r="AF33" s="2">
        <f t="shared" si="16"/>
        <v>-0.29436499999999999</v>
      </c>
      <c r="AG33" s="2">
        <f t="shared" si="17"/>
        <v>-1.15982E-3</v>
      </c>
      <c r="AH33" s="2">
        <f t="shared" si="18"/>
        <v>2.03322E-6</v>
      </c>
      <c r="AI33" s="2">
        <f t="shared" si="19"/>
        <v>-1.38403E-9</v>
      </c>
    </row>
    <row r="34" spans="3:58" x14ac:dyDescent="0.25">
      <c r="C34">
        <f t="shared" si="6"/>
        <v>900</v>
      </c>
      <c r="D34" s="2">
        <f t="shared" si="14"/>
        <v>1</v>
      </c>
      <c r="E34" s="2">
        <f t="shared" si="20"/>
        <v>900</v>
      </c>
      <c r="F34" s="2">
        <v>954</v>
      </c>
      <c r="G34" s="2">
        <v>16.100000000000001</v>
      </c>
      <c r="H34" s="2">
        <v>148</v>
      </c>
      <c r="AD34" s="5">
        <f t="shared" si="5"/>
        <v>955.10259699999995</v>
      </c>
      <c r="AE34" s="2">
        <f t="shared" si="15"/>
        <v>1585.33</v>
      </c>
      <c r="AF34" s="2">
        <f t="shared" si="16"/>
        <v>-0.29436499999999999</v>
      </c>
      <c r="AG34" s="2">
        <f t="shared" si="17"/>
        <v>-1.15982E-3</v>
      </c>
      <c r="AH34" s="2">
        <f t="shared" si="18"/>
        <v>2.03322E-6</v>
      </c>
      <c r="AI34" s="2">
        <f t="shared" si="19"/>
        <v>-1.38403E-9</v>
      </c>
      <c r="AS34">
        <v>2</v>
      </c>
      <c r="AT34">
        <f>AS34+7</f>
        <v>9</v>
      </c>
      <c r="AU34">
        <f t="shared" ref="AU34:BB34" si="21">AT34+7</f>
        <v>16</v>
      </c>
      <c r="AV34">
        <f t="shared" si="21"/>
        <v>23</v>
      </c>
      <c r="AW34">
        <f t="shared" si="21"/>
        <v>30</v>
      </c>
      <c r="AX34">
        <f t="shared" si="21"/>
        <v>37</v>
      </c>
      <c r="AY34">
        <f t="shared" si="21"/>
        <v>44</v>
      </c>
      <c r="AZ34">
        <f t="shared" si="21"/>
        <v>51</v>
      </c>
      <c r="BA34">
        <f t="shared" si="21"/>
        <v>58</v>
      </c>
      <c r="BB34">
        <f t="shared" si="21"/>
        <v>65</v>
      </c>
    </row>
    <row r="35" spans="3:58" x14ac:dyDescent="0.25">
      <c r="C35">
        <f t="shared" si="6"/>
        <v>200</v>
      </c>
      <c r="D35" s="2">
        <v>2</v>
      </c>
      <c r="E35" s="2">
        <v>200</v>
      </c>
      <c r="F35" s="2">
        <v>1538</v>
      </c>
      <c r="G35" s="2">
        <v>26.6</v>
      </c>
      <c r="H35" s="2">
        <v>15</v>
      </c>
      <c r="AD35" s="6">
        <f t="shared" si="5"/>
        <v>1538.8523439999999</v>
      </c>
      <c r="AE35" s="4">
        <v>1628.85</v>
      </c>
      <c r="AF35" s="4">
        <f>-0.590671</f>
        <v>-0.59067099999999995</v>
      </c>
      <c r="AG35" s="4">
        <v>9.5766199999999997E-4</v>
      </c>
      <c r="AH35" s="4">
        <v>-1.4731999999999999E-6</v>
      </c>
      <c r="AI35" s="4">
        <v>1.0097900000000001E-9</v>
      </c>
      <c r="AJ35" s="4">
        <f>-0.000000000000267564</f>
        <v>-2.6756400000000001E-13</v>
      </c>
      <c r="AS35">
        <f>VLOOKUP(Koordinaten!$E$27,Tabelle1!$AO$4:$DG$18,Tabelle1!AS34,FALSE)</f>
        <v>707</v>
      </c>
      <c r="AT35">
        <f>VLOOKUP(Koordinaten!$E$27,Tabelle1!$AO$4:$DG$18,Tabelle1!AT34,FALSE)</f>
        <v>707</v>
      </c>
      <c r="AU35">
        <f>VLOOKUP(Koordinaten!$E$27,Tabelle1!$AO$4:$DG$18,Tabelle1!AU34,FALSE)</f>
        <v>707</v>
      </c>
      <c r="AV35">
        <f>VLOOKUP(Koordinaten!$E$27,Tabelle1!$AO$4:$DG$18,Tabelle1!AV34,FALSE)</f>
        <v>707</v>
      </c>
      <c r="AW35">
        <f>VLOOKUP(Koordinaten!$E$27,Tabelle1!$AO$4:$DG$18,Tabelle1!AW34,FALSE)</f>
        <v>707</v>
      </c>
      <c r="AX35">
        <f>VLOOKUP(Koordinaten!$E$27,Tabelle1!$AO$4:$DG$18,Tabelle1!AX34,FALSE)</f>
        <v>707</v>
      </c>
      <c r="AY35">
        <f>VLOOKUP(Koordinaten!$E$27,Tabelle1!$AO$4:$DG$18,Tabelle1!AY34,FALSE)</f>
        <v>707</v>
      </c>
      <c r="AZ35">
        <f>VLOOKUP(Koordinaten!$E$27,Tabelle1!$AO$4:$DG$18,Tabelle1!AZ34,FALSE)</f>
        <v>707</v>
      </c>
      <c r="BA35">
        <f>VLOOKUP(Koordinaten!$E$27,Tabelle1!$AO$4:$DG$18,Tabelle1!BA34,FALSE)</f>
        <v>707</v>
      </c>
      <c r="BB35">
        <f>VLOOKUP(Koordinaten!$E$27,Tabelle1!$AO$4:$DG$18,Tabelle1!BB34,FALSE)</f>
        <v>707</v>
      </c>
    </row>
    <row r="36" spans="3:58" x14ac:dyDescent="0.25">
      <c r="C36">
        <f t="shared" si="6"/>
        <v>300</v>
      </c>
      <c r="D36" s="2">
        <f t="shared" ref="D36:D42" si="22">D35</f>
        <v>2</v>
      </c>
      <c r="E36" s="2">
        <f t="shared" si="20"/>
        <v>300</v>
      </c>
      <c r="F36" s="2">
        <v>1507</v>
      </c>
      <c r="G36" s="2">
        <v>26.5</v>
      </c>
      <c r="H36" s="2">
        <v>16</v>
      </c>
      <c r="AD36" s="5">
        <f t="shared" ref="AD36:AD67" si="23">AJ36*C36^5+AI36*C36^4+AH36*C36^3+AG36*C36^2+AF36*C36+AE36</f>
        <v>1506.5909984800001</v>
      </c>
      <c r="AE36" s="2">
        <v>1629.85</v>
      </c>
      <c r="AF36" s="2">
        <f t="shared" ref="AF36:AF49" si="24">-0.590671</f>
        <v>-0.59067099999999995</v>
      </c>
      <c r="AG36" s="2">
        <v>9.5766199999999997E-4</v>
      </c>
      <c r="AH36" s="2">
        <v>-1.4731999999999999E-6</v>
      </c>
      <c r="AI36" s="2">
        <v>1.0097900000000001E-9</v>
      </c>
      <c r="AJ36" s="2">
        <f t="shared" ref="AJ36:AJ49" si="25">-0.000000000000267564</f>
        <v>-2.6756400000000001E-13</v>
      </c>
      <c r="AS36">
        <f>VLOOKUP(Koordinaten!$E$27,Tabelle1!$AO$4:$DG$18,Tabelle1!AS34+1,FALSE)</f>
        <v>428</v>
      </c>
      <c r="AT36">
        <f>VLOOKUP(Koordinaten!$E$27,Tabelle1!$AO$4:$DG$18,Tabelle1!AT34+1,FALSE)</f>
        <v>430</v>
      </c>
      <c r="AU36">
        <f>VLOOKUP(Koordinaten!$E$27,Tabelle1!$AO$4:$DG$18,Tabelle1!AU34+1,FALSE)</f>
        <v>432</v>
      </c>
      <c r="AV36">
        <f>VLOOKUP(Koordinaten!$E$27,Tabelle1!$AO$4:$DG$18,Tabelle1!AV34+1,FALSE)</f>
        <v>434</v>
      </c>
      <c r="AW36">
        <f>VLOOKUP(Koordinaten!$E$27,Tabelle1!$AO$4:$DG$18,Tabelle1!AW34+1,FALSE)</f>
        <v>436</v>
      </c>
      <c r="AX36">
        <f>VLOOKUP(Koordinaten!$E$27,Tabelle1!$AO$4:$DG$18,Tabelle1!AX34+1,FALSE)</f>
        <v>438</v>
      </c>
      <c r="AY36">
        <f>VLOOKUP(Koordinaten!$E$27,Tabelle1!$AO$4:$DG$18,Tabelle1!AY34+1,FALSE)</f>
        <v>440</v>
      </c>
      <c r="AZ36">
        <f>VLOOKUP(Koordinaten!$E$27,Tabelle1!$AO$4:$DG$18,Tabelle1!AZ34+1,FALSE)</f>
        <v>442</v>
      </c>
      <c r="BA36">
        <f>VLOOKUP(Koordinaten!$E$27,Tabelle1!$AO$4:$DG$18,Tabelle1!BA34+1,FALSE)</f>
        <v>444</v>
      </c>
      <c r="BB36">
        <f>VLOOKUP(Koordinaten!$E$27,Tabelle1!$AO$4:$DG$18,Tabelle1!BB34+1,FALSE)</f>
        <v>446</v>
      </c>
    </row>
    <row r="37" spans="3:58" x14ac:dyDescent="0.25">
      <c r="C37">
        <f t="shared" si="6"/>
        <v>400</v>
      </c>
      <c r="D37" s="2">
        <f t="shared" si="22"/>
        <v>2</v>
      </c>
      <c r="E37" s="2">
        <f t="shared" si="20"/>
        <v>400</v>
      </c>
      <c r="F37" s="2">
        <v>1475</v>
      </c>
      <c r="G37" s="2">
        <v>26.4</v>
      </c>
      <c r="H37" s="2">
        <v>16</v>
      </c>
      <c r="AD37" s="5">
        <f t="shared" si="23"/>
        <v>1476.63348864</v>
      </c>
      <c r="AE37" s="2">
        <v>1630.85</v>
      </c>
      <c r="AF37" s="2">
        <f t="shared" si="24"/>
        <v>-0.59067099999999995</v>
      </c>
      <c r="AG37" s="2">
        <v>9.5766199999999997E-4</v>
      </c>
      <c r="AH37" s="2">
        <v>-1.4731999999999999E-6</v>
      </c>
      <c r="AI37" s="2">
        <v>1.0097900000000001E-9</v>
      </c>
      <c r="AJ37" s="2">
        <f t="shared" si="25"/>
        <v>-2.6756400000000001E-13</v>
      </c>
    </row>
    <row r="38" spans="3:58" x14ac:dyDescent="0.25">
      <c r="C38">
        <f t="shared" si="6"/>
        <v>500</v>
      </c>
      <c r="D38" s="2">
        <f t="shared" si="22"/>
        <v>2</v>
      </c>
      <c r="E38" s="2">
        <f t="shared" si="20"/>
        <v>500</v>
      </c>
      <c r="F38" s="2">
        <v>1443</v>
      </c>
      <c r="G38" s="2">
        <v>26.3</v>
      </c>
      <c r="H38" s="2">
        <v>16</v>
      </c>
      <c r="AD38" s="5">
        <f t="shared" si="23"/>
        <v>1446.5304999999998</v>
      </c>
      <c r="AE38" s="2">
        <v>1631.85</v>
      </c>
      <c r="AF38" s="2">
        <f t="shared" si="24"/>
        <v>-0.59067099999999995</v>
      </c>
      <c r="AG38" s="2">
        <v>9.5766199999999997E-4</v>
      </c>
      <c r="AH38" s="2">
        <v>-1.4731999999999999E-6</v>
      </c>
      <c r="AI38" s="2">
        <v>1.0097900000000001E-9</v>
      </c>
      <c r="AJ38" s="2">
        <f t="shared" si="25"/>
        <v>-2.6756400000000001E-13</v>
      </c>
      <c r="AT38">
        <v>200</v>
      </c>
      <c r="AU38">
        <v>300</v>
      </c>
    </row>
    <row r="39" spans="3:58" x14ac:dyDescent="0.25">
      <c r="C39">
        <f t="shared" si="6"/>
        <v>600</v>
      </c>
      <c r="D39" s="2">
        <f t="shared" si="22"/>
        <v>2</v>
      </c>
      <c r="E39" s="2">
        <f t="shared" si="20"/>
        <v>600</v>
      </c>
      <c r="F39" s="2">
        <v>1410</v>
      </c>
      <c r="G39" s="2">
        <v>26.2</v>
      </c>
      <c r="H39" s="2">
        <v>16</v>
      </c>
      <c r="AD39" s="5">
        <f t="shared" si="23"/>
        <v>1415.05752736</v>
      </c>
      <c r="AE39" s="2">
        <v>1632.85</v>
      </c>
      <c r="AF39" s="2">
        <f t="shared" si="24"/>
        <v>-0.59067099999999995</v>
      </c>
      <c r="AG39" s="2">
        <v>9.5766199999999997E-4</v>
      </c>
      <c r="AH39" s="2">
        <v>-1.4731999999999999E-6</v>
      </c>
      <c r="AI39" s="2">
        <v>1.0097900000000001E-9</v>
      </c>
      <c r="AJ39" s="2">
        <f t="shared" si="25"/>
        <v>-2.6756400000000001E-13</v>
      </c>
      <c r="AT39" s="35">
        <f>SUM(AT40:AT44)</f>
        <v>2900</v>
      </c>
      <c r="AU39" s="35">
        <f>AT39</f>
        <v>2900</v>
      </c>
    </row>
    <row r="40" spans="3:58" x14ac:dyDescent="0.25">
      <c r="C40">
        <f t="shared" si="6"/>
        <v>700</v>
      </c>
      <c r="D40" s="2">
        <f t="shared" si="22"/>
        <v>2</v>
      </c>
      <c r="E40" s="2">
        <f t="shared" si="20"/>
        <v>700</v>
      </c>
      <c r="F40" s="2">
        <v>1376</v>
      </c>
      <c r="G40" s="2">
        <v>26</v>
      </c>
      <c r="H40" s="2">
        <v>17</v>
      </c>
      <c r="AD40" s="5">
        <f t="shared" si="23"/>
        <v>1381.8081775199998</v>
      </c>
      <c r="AE40" s="2">
        <v>1633.85</v>
      </c>
      <c r="AF40" s="2">
        <f t="shared" si="24"/>
        <v>-0.59067099999999995</v>
      </c>
      <c r="AG40" s="2">
        <v>9.5766199999999997E-4</v>
      </c>
      <c r="AH40" s="2">
        <v>-1.4731999999999999E-6</v>
      </c>
      <c r="AI40" s="2">
        <v>1.0097900000000001E-9</v>
      </c>
      <c r="AJ40" s="2">
        <f t="shared" si="25"/>
        <v>-2.6756400000000001E-13</v>
      </c>
      <c r="AS40">
        <v>0</v>
      </c>
      <c r="AT40" t="str">
        <f>IF(Koordinaten!$E$12=Tabelle1!AS40,400,"")</f>
        <v/>
      </c>
      <c r="AU40" t="str">
        <f>IF($AT40="","",Koordinaten!$D$5)</f>
        <v/>
      </c>
      <c r="AV40" t="str">
        <f>IF($AT40="","",Koordinaten!$D$6)</f>
        <v/>
      </c>
      <c r="BC40" t="s">
        <v>78</v>
      </c>
      <c r="BD40" t="s">
        <v>79</v>
      </c>
    </row>
    <row r="41" spans="3:58" x14ac:dyDescent="0.25">
      <c r="C41">
        <f t="shared" si="6"/>
        <v>800</v>
      </c>
      <c r="D41" s="2">
        <f t="shared" si="22"/>
        <v>2</v>
      </c>
      <c r="E41" s="2">
        <f t="shared" si="20"/>
        <v>800</v>
      </c>
      <c r="F41" s="2">
        <v>1341</v>
      </c>
      <c r="G41" s="2">
        <v>25.8</v>
      </c>
      <c r="H41" s="2">
        <v>18</v>
      </c>
      <c r="AD41" s="5">
        <f t="shared" si="23"/>
        <v>1346.8730924800002</v>
      </c>
      <c r="AE41" s="2">
        <v>1634.85</v>
      </c>
      <c r="AF41" s="2">
        <f t="shared" si="24"/>
        <v>-0.59067099999999995</v>
      </c>
      <c r="AG41" s="2">
        <v>9.5766199999999997E-4</v>
      </c>
      <c r="AH41" s="2">
        <v>-1.4731999999999999E-6</v>
      </c>
      <c r="AI41" s="2">
        <v>1.0097900000000001E-9</v>
      </c>
      <c r="AJ41" s="2">
        <f t="shared" si="25"/>
        <v>-2.6756400000000001E-13</v>
      </c>
      <c r="AS41">
        <v>1</v>
      </c>
      <c r="AT41" t="str">
        <f>IF(Koordinaten!$E$12=Tabelle1!AS41,900,"")</f>
        <v/>
      </c>
      <c r="AU41" t="str">
        <f>IF($AT41="","",Koordinaten!$D$5)</f>
        <v/>
      </c>
      <c r="AV41" t="str">
        <f>IF($AT41="","",Koordinaten!$D$6)</f>
        <v/>
      </c>
      <c r="BB41">
        <v>1</v>
      </c>
      <c r="BC41">
        <f>$AT$39/10*COS(PI()/360*BB41*2)</f>
        <v>289.95583159535346</v>
      </c>
      <c r="BD41">
        <f>$AT$39/10*SIN(PI()/360*BB41*2)</f>
        <v>5.0611978668122184</v>
      </c>
      <c r="BE41">
        <f>Koordinaten!$D$5+BC41</f>
        <v>770.9558315953534</v>
      </c>
      <c r="BF41">
        <f>Koordinaten!$D$6+BD41</f>
        <v>478.06119786681222</v>
      </c>
    </row>
    <row r="42" spans="3:58" x14ac:dyDescent="0.25">
      <c r="C42">
        <f t="shared" si="6"/>
        <v>900</v>
      </c>
      <c r="D42" s="2">
        <f t="shared" si="22"/>
        <v>2</v>
      </c>
      <c r="E42" s="2">
        <f t="shared" si="20"/>
        <v>900</v>
      </c>
      <c r="F42" s="2">
        <v>1305</v>
      </c>
      <c r="G42" s="2">
        <v>25.5</v>
      </c>
      <c r="H42" s="2">
        <v>20</v>
      </c>
      <c r="AD42" s="5">
        <f t="shared" si="23"/>
        <v>1310.5188726399999</v>
      </c>
      <c r="AE42" s="2">
        <v>1635.85</v>
      </c>
      <c r="AF42" s="2">
        <f t="shared" si="24"/>
        <v>-0.59067099999999995</v>
      </c>
      <c r="AG42" s="2">
        <v>9.5766199999999997E-4</v>
      </c>
      <c r="AH42" s="2">
        <v>-1.4731999999999999E-6</v>
      </c>
      <c r="AI42" s="2">
        <v>1.0097900000000001E-9</v>
      </c>
      <c r="AJ42" s="2">
        <f t="shared" si="25"/>
        <v>-2.6756400000000001E-13</v>
      </c>
      <c r="AS42">
        <v>2</v>
      </c>
      <c r="AT42" t="str">
        <f>IF(Koordinaten!$E$12=Tabelle1!AS42,1600,"")</f>
        <v/>
      </c>
      <c r="AU42" t="str">
        <f>IF($AT42="","",Koordinaten!$D$5)</f>
        <v/>
      </c>
      <c r="AV42" t="str">
        <f>IF($AT42="","",Koordinaten!$D$6)</f>
        <v/>
      </c>
      <c r="BB42">
        <f>BB41+1</f>
        <v>2</v>
      </c>
      <c r="BC42">
        <f t="shared" ref="BC42:BC105" si="26">$AT$39/10*COS(PI()/360*BB42*2)</f>
        <v>289.82333983553775</v>
      </c>
      <c r="BD42">
        <f t="shared" ref="BD42:BD105" si="27">$AT$39/10*SIN(PI()/360*BB42*2)</f>
        <v>10.120854043725281</v>
      </c>
      <c r="BE42">
        <f>Koordinaten!$D$5+BC42</f>
        <v>770.82333983553781</v>
      </c>
      <c r="BF42">
        <f>Koordinaten!$D$6+BD42</f>
        <v>483.12085404372527</v>
      </c>
    </row>
    <row r="43" spans="3:58" x14ac:dyDescent="0.25">
      <c r="C43">
        <f t="shared" si="6"/>
        <v>1000</v>
      </c>
      <c r="D43" s="2">
        <v>2</v>
      </c>
      <c r="E43" s="2">
        <f t="shared" si="20"/>
        <v>1000</v>
      </c>
      <c r="F43" s="2">
        <v>1266</v>
      </c>
      <c r="G43" s="2">
        <v>25.2</v>
      </c>
      <c r="H43" s="2">
        <v>20</v>
      </c>
      <c r="AD43" s="5">
        <f t="shared" si="23"/>
        <v>1272.8670000000002</v>
      </c>
      <c r="AE43" s="2">
        <v>1636.85</v>
      </c>
      <c r="AF43" s="2">
        <f t="shared" si="24"/>
        <v>-0.59067099999999995</v>
      </c>
      <c r="AG43" s="2">
        <v>9.5766199999999997E-4</v>
      </c>
      <c r="AH43" s="2">
        <v>-1.4731999999999999E-6</v>
      </c>
      <c r="AI43" s="2">
        <v>1.0097900000000001E-9</v>
      </c>
      <c r="AJ43" s="2">
        <f t="shared" si="25"/>
        <v>-2.6756400000000001E-13</v>
      </c>
      <c r="AS43">
        <v>3</v>
      </c>
      <c r="AT43" t="str">
        <f>IF(Koordinaten!$E$12=Tabelle1!AS43,2300,"")</f>
        <v/>
      </c>
      <c r="AU43" t="str">
        <f>IF($AT43="","",Koordinaten!$D$5)</f>
        <v/>
      </c>
      <c r="AV43" t="str">
        <f>IF($AT43="","",Koordinaten!$D$6)</f>
        <v/>
      </c>
      <c r="BB43">
        <f t="shared" ref="BB43:BB106" si="28">BB42+1</f>
        <v>3</v>
      </c>
      <c r="BC43">
        <f t="shared" si="26"/>
        <v>289.60256507882639</v>
      </c>
      <c r="BD43">
        <f t="shared" si="27"/>
        <v>15.177427310453712</v>
      </c>
      <c r="BE43">
        <f>Koordinaten!$D$5+BC43</f>
        <v>770.60256507882639</v>
      </c>
      <c r="BF43">
        <f>Koordinaten!$D$6+BD43</f>
        <v>488.17742731045371</v>
      </c>
    </row>
    <row r="44" spans="3:58" x14ac:dyDescent="0.25">
      <c r="C44">
        <f t="shared" si="6"/>
        <v>1100</v>
      </c>
      <c r="D44" s="2">
        <f t="shared" ref="D44:D49" si="29">D43</f>
        <v>2</v>
      </c>
      <c r="E44" s="2">
        <f t="shared" si="20"/>
        <v>1100</v>
      </c>
      <c r="F44" s="2">
        <v>1225</v>
      </c>
      <c r="G44" s="2">
        <v>24.9</v>
      </c>
      <c r="H44" s="2">
        <v>22</v>
      </c>
      <c r="AD44" s="5">
        <f t="shared" si="23"/>
        <v>1233.5727613600002</v>
      </c>
      <c r="AE44" s="2">
        <v>1637.85</v>
      </c>
      <c r="AF44" s="2">
        <f t="shared" si="24"/>
        <v>-0.59067099999999995</v>
      </c>
      <c r="AG44" s="2">
        <v>9.5766199999999997E-4</v>
      </c>
      <c r="AH44" s="2">
        <v>-1.4731999999999999E-6</v>
      </c>
      <c r="AI44" s="2">
        <v>1.0097900000000001E-9</v>
      </c>
      <c r="AJ44" s="2">
        <f t="shared" si="25"/>
        <v>-2.6756400000000001E-13</v>
      </c>
      <c r="AS44">
        <v>4</v>
      </c>
      <c r="AT44">
        <f>IF(Koordinaten!$E$12=Tabelle1!AS44,2900,"")</f>
        <v>2900</v>
      </c>
      <c r="AU44">
        <f>IF($AT44="","",Koordinaten!$D$5)</f>
        <v>481</v>
      </c>
      <c r="AV44">
        <f>IF($AT44="","",Koordinaten!$D$6)</f>
        <v>473</v>
      </c>
      <c r="BB44">
        <f t="shared" si="28"/>
        <v>4</v>
      </c>
      <c r="BC44">
        <f t="shared" si="26"/>
        <v>289.293574575349</v>
      </c>
      <c r="BD44">
        <f t="shared" si="27"/>
        <v>20.229377385796337</v>
      </c>
      <c r="BE44">
        <f>Koordinaten!$D$5+BC44</f>
        <v>770.293574575349</v>
      </c>
      <c r="BF44">
        <f>Koordinaten!$D$6+BD44</f>
        <v>493.22937738579634</v>
      </c>
    </row>
    <row r="45" spans="3:58" x14ac:dyDescent="0.25">
      <c r="C45">
        <f t="shared" si="6"/>
        <v>1200</v>
      </c>
      <c r="D45" s="2">
        <f t="shared" si="29"/>
        <v>2</v>
      </c>
      <c r="E45" s="2">
        <f t="shared" si="20"/>
        <v>1200</v>
      </c>
      <c r="F45" s="2">
        <v>1180</v>
      </c>
      <c r="G45" s="2">
        <v>24.4</v>
      </c>
      <c r="H45" s="2">
        <v>23</v>
      </c>
      <c r="AD45" s="5">
        <f t="shared" si="23"/>
        <v>1191.50417152</v>
      </c>
      <c r="AE45" s="2">
        <v>1638.85</v>
      </c>
      <c r="AF45" s="2">
        <f t="shared" si="24"/>
        <v>-0.59067099999999995</v>
      </c>
      <c r="AG45" s="2">
        <v>9.5766199999999997E-4</v>
      </c>
      <c r="AH45" s="2">
        <v>-1.4731999999999999E-6</v>
      </c>
      <c r="AI45" s="2">
        <v>1.0097900000000001E-9</v>
      </c>
      <c r="AJ45" s="2">
        <f t="shared" si="25"/>
        <v>-2.6756400000000001E-13</v>
      </c>
      <c r="BB45">
        <f t="shared" si="28"/>
        <v>5</v>
      </c>
      <c r="BC45">
        <f t="shared" si="26"/>
        <v>288.89646244660622</v>
      </c>
      <c r="BD45">
        <f t="shared" si="27"/>
        <v>25.275165396820867</v>
      </c>
      <c r="BE45">
        <f>Koordinaten!$D$5+BC45</f>
        <v>769.89646244660617</v>
      </c>
      <c r="BF45">
        <f>Koordinaten!$D$6+BD45</f>
        <v>498.27516539682085</v>
      </c>
    </row>
    <row r="46" spans="3:58" x14ac:dyDescent="0.25">
      <c r="C46">
        <f t="shared" si="6"/>
        <v>1300</v>
      </c>
      <c r="D46" s="2">
        <f t="shared" si="29"/>
        <v>2</v>
      </c>
      <c r="E46" s="2">
        <f t="shared" si="20"/>
        <v>1300</v>
      </c>
      <c r="F46" s="2">
        <v>1132</v>
      </c>
      <c r="G46" s="2">
        <v>23.9</v>
      </c>
      <c r="H46" s="2">
        <v>27</v>
      </c>
      <c r="AD46" s="5">
        <f t="shared" si="23"/>
        <v>1144.4208964800005</v>
      </c>
      <c r="AE46" s="2">
        <v>1639.85</v>
      </c>
      <c r="AF46" s="2">
        <f t="shared" si="24"/>
        <v>-0.59067099999999995</v>
      </c>
      <c r="AG46" s="2">
        <v>9.5766199999999997E-4</v>
      </c>
      <c r="AH46" s="2">
        <v>-1.4731999999999999E-6</v>
      </c>
      <c r="AI46" s="2">
        <v>1.0097900000000001E-9</v>
      </c>
      <c r="AJ46" s="2">
        <f t="shared" si="25"/>
        <v>-2.6756400000000001E-13</v>
      </c>
      <c r="BB46">
        <f t="shared" si="28"/>
        <v>6</v>
      </c>
      <c r="BC46">
        <f t="shared" si="26"/>
        <v>288.41134965679925</v>
      </c>
      <c r="BD46">
        <f t="shared" si="27"/>
        <v>30.313254347619505</v>
      </c>
      <c r="BE46">
        <f>Koordinaten!$D$5+BC46</f>
        <v>769.4113496567993</v>
      </c>
      <c r="BF46">
        <f>Koordinaten!$D$6+BD46</f>
        <v>503.31325434761948</v>
      </c>
    </row>
    <row r="47" spans="3:58" x14ac:dyDescent="0.25">
      <c r="C47">
        <f t="shared" si="6"/>
        <v>1400</v>
      </c>
      <c r="D47" s="2">
        <f t="shared" si="29"/>
        <v>2</v>
      </c>
      <c r="E47" s="2">
        <f t="shared" si="20"/>
        <v>1400</v>
      </c>
      <c r="F47" s="2">
        <v>1076</v>
      </c>
      <c r="G47" s="2">
        <v>23.2</v>
      </c>
      <c r="H47" s="2">
        <v>31</v>
      </c>
      <c r="AD47" s="5">
        <f t="shared" si="23"/>
        <v>1088.6531766400005</v>
      </c>
      <c r="AE47" s="2">
        <v>1640.85</v>
      </c>
      <c r="AF47" s="2">
        <f t="shared" si="24"/>
        <v>-0.59067099999999995</v>
      </c>
      <c r="AG47" s="2">
        <v>9.5766199999999997E-4</v>
      </c>
      <c r="AH47" s="2">
        <v>-1.4731999999999999E-6</v>
      </c>
      <c r="AI47" s="2">
        <v>1.0097900000000001E-9</v>
      </c>
      <c r="AJ47" s="2">
        <f t="shared" si="25"/>
        <v>-2.6756400000000001E-13</v>
      </c>
      <c r="BB47">
        <f t="shared" si="28"/>
        <v>7</v>
      </c>
      <c r="BC47">
        <f t="shared" si="26"/>
        <v>287.83838397598339</v>
      </c>
      <c r="BD47">
        <f t="shared" si="27"/>
        <v>35.342109587492772</v>
      </c>
      <c r="BE47">
        <f>Koordinaten!$D$5+BC47</f>
        <v>768.83838397598333</v>
      </c>
      <c r="BF47">
        <f>Koordinaten!$D$6+BD47</f>
        <v>508.34210958749276</v>
      </c>
    </row>
    <row r="48" spans="3:58" x14ac:dyDescent="0.25">
      <c r="C48">
        <f t="shared" si="6"/>
        <v>1500</v>
      </c>
      <c r="D48" s="2">
        <f t="shared" si="29"/>
        <v>2</v>
      </c>
      <c r="E48" s="2">
        <f t="shared" si="20"/>
        <v>1500</v>
      </c>
      <c r="F48" s="2">
        <v>1009</v>
      </c>
      <c r="G48" s="2">
        <v>22.3</v>
      </c>
      <c r="H48" s="2">
        <v>43</v>
      </c>
      <c r="AD48" s="5">
        <f t="shared" si="23"/>
        <v>1018.7807500000004</v>
      </c>
      <c r="AE48" s="2">
        <v>1641.85</v>
      </c>
      <c r="AF48" s="2">
        <f t="shared" si="24"/>
        <v>-0.59067099999999995</v>
      </c>
      <c r="AG48" s="2">
        <v>9.5766199999999997E-4</v>
      </c>
      <c r="AH48" s="2">
        <v>-1.4731999999999999E-6</v>
      </c>
      <c r="AI48" s="2">
        <v>1.0097900000000001E-9</v>
      </c>
      <c r="AJ48" s="2">
        <f t="shared" si="25"/>
        <v>-2.6756400000000001E-13</v>
      </c>
      <c r="BB48">
        <f t="shared" si="28"/>
        <v>8</v>
      </c>
      <c r="BC48">
        <f t="shared" si="26"/>
        <v>287.1777399350554</v>
      </c>
      <c r="BD48">
        <f t="shared" si="27"/>
        <v>40.360199278418975</v>
      </c>
      <c r="BE48">
        <f>Koordinaten!$D$5+BC48</f>
        <v>768.17773993505534</v>
      </c>
      <c r="BF48">
        <f>Koordinaten!$D$6+BD48</f>
        <v>513.36019927841903</v>
      </c>
    </row>
    <row r="49" spans="3:58" x14ac:dyDescent="0.25">
      <c r="C49">
        <f t="shared" si="6"/>
        <v>1600</v>
      </c>
      <c r="D49" s="2">
        <f t="shared" si="29"/>
        <v>2</v>
      </c>
      <c r="E49" s="2">
        <f t="shared" si="20"/>
        <v>1600</v>
      </c>
      <c r="F49" s="2">
        <v>912</v>
      </c>
      <c r="G49" s="2">
        <v>20.9</v>
      </c>
      <c r="H49" s="2">
        <v>109</v>
      </c>
      <c r="AD49" s="5">
        <f t="shared" si="23"/>
        <v>927.31177536000155</v>
      </c>
      <c r="AE49" s="2">
        <v>1642.85</v>
      </c>
      <c r="AF49" s="2">
        <f t="shared" si="24"/>
        <v>-0.59067099999999995</v>
      </c>
      <c r="AG49" s="2">
        <v>9.5766199999999997E-4</v>
      </c>
      <c r="AH49" s="2">
        <v>-1.4731999999999999E-6</v>
      </c>
      <c r="AI49" s="2">
        <v>1.0097900000000001E-9</v>
      </c>
      <c r="AJ49" s="2">
        <f t="shared" si="25"/>
        <v>-2.6756400000000001E-13</v>
      </c>
      <c r="BB49">
        <f t="shared" si="28"/>
        <v>9</v>
      </c>
      <c r="BC49">
        <f t="shared" si="26"/>
        <v>286.42961877258995</v>
      </c>
      <c r="BD49">
        <f t="shared" si="27"/>
        <v>45.365994861666955</v>
      </c>
      <c r="BE49">
        <f>Koordinaten!$D$5+BC49</f>
        <v>767.42961877258995</v>
      </c>
      <c r="BF49">
        <f>Koordinaten!$D$6+BD49</f>
        <v>518.36599486166699</v>
      </c>
    </row>
    <row r="50" spans="3:58" x14ac:dyDescent="0.25">
      <c r="C50">
        <f t="shared" si="6"/>
        <v>300</v>
      </c>
      <c r="D50" s="2">
        <v>3</v>
      </c>
      <c r="E50" s="2">
        <v>300</v>
      </c>
      <c r="F50" s="2">
        <v>1534</v>
      </c>
      <c r="G50" s="2">
        <v>31.7</v>
      </c>
      <c r="H50" s="2">
        <v>12</v>
      </c>
      <c r="AD50" s="6">
        <f t="shared" si="23"/>
        <v>1537.31152092</v>
      </c>
      <c r="AE50" s="4">
        <v>1710.15</v>
      </c>
      <c r="AF50" s="4">
        <f>-0.931423</f>
        <v>-0.931423</v>
      </c>
      <c r="AG50" s="4">
        <v>1.61641E-3</v>
      </c>
      <c r="AH50" s="4">
        <f>-0.00000166008</f>
        <v>-1.6600800000000001E-6</v>
      </c>
      <c r="AI50" s="4">
        <v>7.7334599999999999E-10</v>
      </c>
      <c r="AJ50" s="4">
        <f>-0.000000000000135976</f>
        <v>-1.3597600000000001E-13</v>
      </c>
      <c r="BB50">
        <f t="shared" si="28"/>
        <v>10</v>
      </c>
      <c r="BC50">
        <f t="shared" si="26"/>
        <v>285.59424837354032</v>
      </c>
      <c r="BD50">
        <f t="shared" si="27"/>
        <v>50.357971523409795</v>
      </c>
      <c r="BE50">
        <f>Koordinaten!$D$5+BC50</f>
        <v>766.59424837354027</v>
      </c>
      <c r="BF50">
        <f>Koordinaten!$D$6+BD50</f>
        <v>523.35797152340979</v>
      </c>
    </row>
    <row r="51" spans="3:58" x14ac:dyDescent="0.25">
      <c r="C51">
        <f t="shared" si="6"/>
        <v>400</v>
      </c>
      <c r="D51" s="2">
        <v>3</v>
      </c>
      <c r="E51" s="2">
        <f t="shared" si="20"/>
        <v>400</v>
      </c>
      <c r="F51" s="2">
        <v>1511</v>
      </c>
      <c r="G51" s="2">
        <v>31.6</v>
      </c>
      <c r="H51" s="2">
        <v>12</v>
      </c>
      <c r="AD51" s="5">
        <f t="shared" si="23"/>
        <v>1508.3665433600002</v>
      </c>
      <c r="AE51" s="2">
        <v>1710.15</v>
      </c>
      <c r="AF51" s="2">
        <v>-0.931423</v>
      </c>
      <c r="AG51" s="2">
        <v>1.61641E-3</v>
      </c>
      <c r="AH51" s="2">
        <f t="shared" ref="AH51:AH70" si="30">-0.00000166008</f>
        <v>-1.6600800000000001E-6</v>
      </c>
      <c r="AI51" s="2">
        <v>7.7334599999999999E-10</v>
      </c>
      <c r="AJ51" s="2">
        <v>-1.3597600000000001E-13</v>
      </c>
      <c r="BB51">
        <f t="shared" si="28"/>
        <v>11</v>
      </c>
      <c r="BC51">
        <f t="shared" si="26"/>
        <v>284.67188319982256</v>
      </c>
      <c r="BD51">
        <f t="shared" si="27"/>
        <v>55.33460865919799</v>
      </c>
      <c r="BE51">
        <f>Koordinaten!$D$5+BC51</f>
        <v>765.67188319982256</v>
      </c>
      <c r="BF51">
        <f>Koordinaten!$D$6+BD51</f>
        <v>528.33460865919801</v>
      </c>
    </row>
    <row r="52" spans="3:58" x14ac:dyDescent="0.25">
      <c r="C52">
        <f t="shared" si="6"/>
        <v>500</v>
      </c>
      <c r="D52" s="2">
        <v>3</v>
      </c>
      <c r="E52" s="2">
        <f t="shared" si="20"/>
        <v>500</v>
      </c>
      <c r="F52" s="2">
        <v>1489</v>
      </c>
      <c r="G52" s="2">
        <v>31.6</v>
      </c>
      <c r="H52" s="2">
        <v>12</v>
      </c>
      <c r="AD52" s="5">
        <f t="shared" si="23"/>
        <v>1485.115875</v>
      </c>
      <c r="AE52" s="2">
        <v>1710.15</v>
      </c>
      <c r="AF52" s="2">
        <v>-0.931423</v>
      </c>
      <c r="AG52" s="2">
        <v>1.61641E-3</v>
      </c>
      <c r="AH52" s="2">
        <f t="shared" si="30"/>
        <v>-1.6600800000000001E-6</v>
      </c>
      <c r="AI52" s="2">
        <v>7.7334599999999999E-10</v>
      </c>
      <c r="AJ52" s="2">
        <v>-1.3597600000000001E-13</v>
      </c>
      <c r="BB52">
        <f t="shared" si="28"/>
        <v>12</v>
      </c>
      <c r="BC52">
        <f t="shared" si="26"/>
        <v>283.66280421280362</v>
      </c>
      <c r="BD52">
        <f t="shared" si="27"/>
        <v>60.294390337150212</v>
      </c>
      <c r="BE52">
        <f>Koordinaten!$D$5+BC52</f>
        <v>764.66280421280362</v>
      </c>
      <c r="BF52">
        <f>Koordinaten!$D$6+BD52</f>
        <v>533.29439033715016</v>
      </c>
    </row>
    <row r="53" spans="3:58" x14ac:dyDescent="0.25">
      <c r="C53">
        <f t="shared" si="6"/>
        <v>600</v>
      </c>
      <c r="D53" s="2">
        <v>3</v>
      </c>
      <c r="E53" s="2">
        <f t="shared" si="20"/>
        <v>600</v>
      </c>
      <c r="F53" s="2">
        <v>1466</v>
      </c>
      <c r="G53" s="2">
        <v>31.5</v>
      </c>
      <c r="H53" s="2">
        <v>12</v>
      </c>
      <c r="AD53" s="5">
        <f t="shared" si="23"/>
        <v>1464.27866784</v>
      </c>
      <c r="AE53" s="2">
        <v>1710.15</v>
      </c>
      <c r="AF53" s="2">
        <v>-0.931423</v>
      </c>
      <c r="AG53" s="2">
        <v>1.61641E-3</v>
      </c>
      <c r="AH53" s="2">
        <f t="shared" si="30"/>
        <v>-1.6600800000000001E-6</v>
      </c>
      <c r="AI53" s="2">
        <v>7.7334599999999999E-10</v>
      </c>
      <c r="AJ53" s="2">
        <v>-1.3597600000000001E-13</v>
      </c>
      <c r="BB53">
        <f t="shared" si="28"/>
        <v>13</v>
      </c>
      <c r="BC53">
        <f t="shared" si="26"/>
        <v>282.56731878771819</v>
      </c>
      <c r="BD53">
        <f t="shared" si="27"/>
        <v>65.235805759720847</v>
      </c>
      <c r="BE53">
        <f>Koordinaten!$D$5+BC53</f>
        <v>763.56731878771825</v>
      </c>
      <c r="BF53">
        <f>Koordinaten!$D$6+BD53</f>
        <v>538.23580575972085</v>
      </c>
    </row>
    <row r="54" spans="3:58" x14ac:dyDescent="0.25">
      <c r="C54">
        <f t="shared" si="6"/>
        <v>700</v>
      </c>
      <c r="D54" s="2">
        <v>3</v>
      </c>
      <c r="E54" s="2">
        <f t="shared" si="20"/>
        <v>700</v>
      </c>
      <c r="F54" s="2">
        <v>1442</v>
      </c>
      <c r="G54" s="2">
        <v>31.4</v>
      </c>
      <c r="H54" s="2">
        <v>12</v>
      </c>
      <c r="AD54" s="5">
        <f t="shared" si="23"/>
        <v>1443.6142482800001</v>
      </c>
      <c r="AE54" s="2">
        <v>1710.15</v>
      </c>
      <c r="AF54" s="2">
        <v>-0.931423</v>
      </c>
      <c r="AG54" s="2">
        <v>1.61641E-3</v>
      </c>
      <c r="AH54" s="2">
        <f t="shared" si="30"/>
        <v>-1.6600800000000001E-6</v>
      </c>
      <c r="AI54" s="2">
        <v>7.7334599999999999E-10</v>
      </c>
      <c r="AJ54" s="2">
        <v>-1.3597600000000001E-13</v>
      </c>
      <c r="BB54">
        <f t="shared" si="28"/>
        <v>14</v>
      </c>
      <c r="BC54">
        <f t="shared" si="26"/>
        <v>281.38576062003898</v>
      </c>
      <c r="BD54">
        <f t="shared" si="27"/>
        <v>70.157349723903636</v>
      </c>
      <c r="BE54">
        <f>Koordinaten!$D$5+BC54</f>
        <v>762.38576062003904</v>
      </c>
      <c r="BF54">
        <f>Koordinaten!$D$6+BD54</f>
        <v>543.15734972390362</v>
      </c>
    </row>
    <row r="55" spans="3:58" x14ac:dyDescent="0.25">
      <c r="C55">
        <f t="shared" si="6"/>
        <v>800</v>
      </c>
      <c r="D55" s="2">
        <v>3</v>
      </c>
      <c r="E55" s="2">
        <f t="shared" si="20"/>
        <v>800</v>
      </c>
      <c r="F55" s="2">
        <v>1419</v>
      </c>
      <c r="G55" s="2">
        <v>31.3</v>
      </c>
      <c r="H55" s="2">
        <v>12</v>
      </c>
      <c r="AD55" s="5">
        <f t="shared" si="23"/>
        <v>1421.7589459200001</v>
      </c>
      <c r="AE55" s="2">
        <v>1710.15</v>
      </c>
      <c r="AF55" s="2">
        <v>-0.931423</v>
      </c>
      <c r="AG55" s="2">
        <v>1.61641E-3</v>
      </c>
      <c r="AH55" s="2">
        <f t="shared" si="30"/>
        <v>-1.6600800000000001E-6</v>
      </c>
      <c r="AI55" s="2">
        <v>7.7334599999999999E-10</v>
      </c>
      <c r="AJ55" s="2">
        <v>-1.3597600000000001E-13</v>
      </c>
      <c r="BB55">
        <f t="shared" si="28"/>
        <v>15</v>
      </c>
      <c r="BC55">
        <f t="shared" si="26"/>
        <v>280.11848962382982</v>
      </c>
      <c r="BD55">
        <f t="shared" si="27"/>
        <v>75.057523079731013</v>
      </c>
      <c r="BE55">
        <f>Koordinaten!$D$5+BC55</f>
        <v>761.11848962382987</v>
      </c>
      <c r="BF55">
        <f>Koordinaten!$D$6+BD55</f>
        <v>548.05752307973103</v>
      </c>
    </row>
    <row r="56" spans="3:58" x14ac:dyDescent="0.25">
      <c r="C56">
        <f t="shared" si="6"/>
        <v>900</v>
      </c>
      <c r="D56" s="2">
        <v>3</v>
      </c>
      <c r="E56" s="2">
        <f t="shared" si="20"/>
        <v>900</v>
      </c>
      <c r="F56" s="2">
        <v>1395</v>
      </c>
      <c r="G56" s="2">
        <v>31.1</v>
      </c>
      <c r="H56" s="2">
        <v>13</v>
      </c>
      <c r="AD56" s="5">
        <f t="shared" si="23"/>
        <v>1398.0629223599999</v>
      </c>
      <c r="AE56" s="2">
        <v>1710.15</v>
      </c>
      <c r="AF56" s="2">
        <v>-0.931423</v>
      </c>
      <c r="AG56" s="2">
        <v>1.61641E-3</v>
      </c>
      <c r="AH56" s="2">
        <f t="shared" si="30"/>
        <v>-1.6600800000000001E-6</v>
      </c>
      <c r="AI56" s="2">
        <v>7.7334599999999999E-10</v>
      </c>
      <c r="AJ56" s="2">
        <v>-1.3597600000000001E-13</v>
      </c>
      <c r="BB56">
        <f t="shared" si="28"/>
        <v>16</v>
      </c>
      <c r="BC56">
        <f t="shared" si="26"/>
        <v>278.76589182211251</v>
      </c>
      <c r="BD56">
        <f t="shared" si="27"/>
        <v>79.934833186929751</v>
      </c>
      <c r="BE56">
        <f>Koordinaten!$D$5+BC56</f>
        <v>759.76589182211251</v>
      </c>
      <c r="BF56">
        <f>Koordinaten!$D$6+BD56</f>
        <v>552.93483318692972</v>
      </c>
    </row>
    <row r="57" spans="3:58" x14ac:dyDescent="0.25">
      <c r="C57">
        <f t="shared" si="6"/>
        <v>1000</v>
      </c>
      <c r="D57" s="2">
        <v>3</v>
      </c>
      <c r="E57" s="2">
        <f t="shared" si="20"/>
        <v>1000</v>
      </c>
      <c r="F57" s="2">
        <v>1370</v>
      </c>
      <c r="G57" s="2">
        <v>31</v>
      </c>
      <c r="H57" s="2">
        <v>13</v>
      </c>
      <c r="AD57" s="5">
        <f t="shared" si="23"/>
        <v>1372.4270000000001</v>
      </c>
      <c r="AE57" s="2">
        <v>1710.15</v>
      </c>
      <c r="AF57" s="2">
        <v>-0.931423</v>
      </c>
      <c r="AG57" s="2">
        <v>1.61641E-3</v>
      </c>
      <c r="AH57" s="2">
        <f t="shared" si="30"/>
        <v>-1.6600800000000001E-6</v>
      </c>
      <c r="AI57" s="2">
        <v>7.7334599999999999E-10</v>
      </c>
      <c r="AJ57" s="2">
        <v>-1.3597600000000001E-13</v>
      </c>
      <c r="BB57">
        <f t="shared" si="28"/>
        <v>17</v>
      </c>
      <c r="BC57">
        <f t="shared" si="26"/>
        <v>277.3283792292803</v>
      </c>
      <c r="BD57">
        <f t="shared" si="27"/>
        <v>84.787794369593669</v>
      </c>
      <c r="BE57">
        <f>Koordinaten!$D$5+BC57</f>
        <v>758.32837922928024</v>
      </c>
      <c r="BF57">
        <f>Koordinaten!$D$6+BD57</f>
        <v>557.78779436959371</v>
      </c>
    </row>
    <row r="58" spans="3:58" x14ac:dyDescent="0.25">
      <c r="C58">
        <f t="shared" si="6"/>
        <v>1100</v>
      </c>
      <c r="D58" s="2">
        <v>3</v>
      </c>
      <c r="E58" s="2">
        <f t="shared" si="20"/>
        <v>1100</v>
      </c>
      <c r="F58" s="2">
        <v>1344</v>
      </c>
      <c r="G58" s="2">
        <v>30.8</v>
      </c>
      <c r="H58" s="2">
        <v>13</v>
      </c>
      <c r="AD58" s="5">
        <f t="shared" si="23"/>
        <v>1345.13949084</v>
      </c>
      <c r="AE58" s="2">
        <v>1710.15</v>
      </c>
      <c r="AF58" s="2">
        <v>-0.931423</v>
      </c>
      <c r="AG58" s="2">
        <v>1.61641E-3</v>
      </c>
      <c r="AH58" s="2">
        <f t="shared" si="30"/>
        <v>-1.6600800000000001E-6</v>
      </c>
      <c r="AI58" s="2">
        <v>7.7334599999999999E-10</v>
      </c>
      <c r="AJ58" s="2">
        <v>-1.3597600000000001E-13</v>
      </c>
      <c r="BB58">
        <f t="shared" si="28"/>
        <v>18</v>
      </c>
      <c r="BC58">
        <f t="shared" si="26"/>
        <v>275.8063897255945</v>
      </c>
      <c r="BD58">
        <f t="shared" si="27"/>
        <v>89.614928368734738</v>
      </c>
      <c r="BE58">
        <f>Koordinaten!$D$5+BC58</f>
        <v>756.8063897255945</v>
      </c>
      <c r="BF58">
        <f>Koordinaten!$D$6+BD58</f>
        <v>562.6149283687347</v>
      </c>
    </row>
    <row r="59" spans="3:58" x14ac:dyDescent="0.25">
      <c r="C59">
        <f t="shared" si="6"/>
        <v>1200</v>
      </c>
      <c r="D59" s="2">
        <v>3</v>
      </c>
      <c r="E59" s="2">
        <f t="shared" si="20"/>
        <v>1200</v>
      </c>
      <c r="F59" s="2">
        <v>1318</v>
      </c>
      <c r="G59" s="2">
        <v>30.6</v>
      </c>
      <c r="H59" s="2">
        <v>13</v>
      </c>
      <c r="AD59" s="5">
        <f t="shared" si="23"/>
        <v>1316.71302528</v>
      </c>
      <c r="AE59" s="2">
        <v>1710.15</v>
      </c>
      <c r="AF59" s="2">
        <v>-0.931423</v>
      </c>
      <c r="AG59" s="2">
        <v>1.61641E-3</v>
      </c>
      <c r="AH59" s="2">
        <f t="shared" si="30"/>
        <v>-1.6600800000000001E-6</v>
      </c>
      <c r="AI59" s="2">
        <v>7.7334599999999999E-10</v>
      </c>
      <c r="AJ59" s="2">
        <v>-1.3597600000000001E-13</v>
      </c>
      <c r="BB59">
        <f t="shared" si="28"/>
        <v>19</v>
      </c>
      <c r="BC59">
        <f t="shared" si="26"/>
        <v>274.20038692380189</v>
      </c>
      <c r="BD59">
        <f t="shared" si="27"/>
        <v>94.41476479257544</v>
      </c>
      <c r="BE59">
        <f>Koordinaten!$D$5+BC59</f>
        <v>755.20038692380194</v>
      </c>
      <c r="BF59">
        <f>Koordinaten!$D$6+BD59</f>
        <v>567.4147647925754</v>
      </c>
    </row>
    <row r="60" spans="3:58" x14ac:dyDescent="0.25">
      <c r="C60">
        <f t="shared" si="6"/>
        <v>1300</v>
      </c>
      <c r="D60" s="2">
        <v>3</v>
      </c>
      <c r="E60" s="2">
        <f t="shared" si="20"/>
        <v>1300</v>
      </c>
      <c r="F60" s="2">
        <v>1291</v>
      </c>
      <c r="G60" s="2">
        <v>30.3</v>
      </c>
      <c r="H60" s="2">
        <v>14</v>
      </c>
      <c r="AD60" s="5">
        <f t="shared" si="23"/>
        <v>1287.72138092</v>
      </c>
      <c r="AE60" s="2">
        <v>1710.15</v>
      </c>
      <c r="AF60" s="2">
        <v>-0.931423</v>
      </c>
      <c r="AG60" s="2">
        <v>1.61641E-3</v>
      </c>
      <c r="AH60" s="2">
        <f t="shared" si="30"/>
        <v>-1.6600800000000001E-6</v>
      </c>
      <c r="AI60" s="2">
        <v>7.7334599999999999E-10</v>
      </c>
      <c r="AJ60" s="2">
        <v>-1.3597600000000001E-13</v>
      </c>
      <c r="BB60">
        <f t="shared" si="28"/>
        <v>20</v>
      </c>
      <c r="BC60">
        <f t="shared" si="26"/>
        <v>272.51086002791345</v>
      </c>
      <c r="BD60">
        <f t="shared" si="27"/>
        <v>99.185841564443933</v>
      </c>
      <c r="BE60">
        <f>Koordinaten!$D$5+BC60</f>
        <v>753.5108600279134</v>
      </c>
      <c r="BF60">
        <f>Koordinaten!$D$6+BD60</f>
        <v>572.18584156444399</v>
      </c>
    </row>
    <row r="61" spans="3:58" x14ac:dyDescent="0.25">
      <c r="C61">
        <f t="shared" si="6"/>
        <v>1400</v>
      </c>
      <c r="D61" s="2">
        <v>3</v>
      </c>
      <c r="E61" s="2">
        <f t="shared" si="20"/>
        <v>1400</v>
      </c>
      <c r="F61" s="2">
        <v>1263</v>
      </c>
      <c r="G61" s="2">
        <v>30.1</v>
      </c>
      <c r="H61" s="2">
        <v>15</v>
      </c>
      <c r="AD61" s="5">
        <f t="shared" si="23"/>
        <v>1258.6363113599994</v>
      </c>
      <c r="AE61" s="2">
        <v>1710.15</v>
      </c>
      <c r="AF61" s="2">
        <v>-0.931423</v>
      </c>
      <c r="AG61" s="2">
        <v>1.61641E-3</v>
      </c>
      <c r="AH61" s="2">
        <f t="shared" si="30"/>
        <v>-1.6600800000000001E-6</v>
      </c>
      <c r="AI61" s="2">
        <v>7.7334599999999999E-10</v>
      </c>
      <c r="AJ61" s="2">
        <v>-1.3597600000000001E-13</v>
      </c>
      <c r="BB61">
        <f t="shared" si="28"/>
        <v>21</v>
      </c>
      <c r="BC61">
        <f t="shared" si="26"/>
        <v>270.73832368418852</v>
      </c>
      <c r="BD61">
        <f t="shared" si="27"/>
        <v>103.92670536813708</v>
      </c>
      <c r="BE61">
        <f>Koordinaten!$D$5+BC61</f>
        <v>751.73832368418857</v>
      </c>
      <c r="BF61">
        <f>Koordinaten!$D$6+BD61</f>
        <v>576.92670536813705</v>
      </c>
    </row>
    <row r="62" spans="3:58" x14ac:dyDescent="0.25">
      <c r="C62">
        <f t="shared" si="6"/>
        <v>1500</v>
      </c>
      <c r="D62" s="2">
        <v>3</v>
      </c>
      <c r="E62" s="2">
        <f t="shared" si="20"/>
        <v>1500</v>
      </c>
      <c r="F62" s="2">
        <v>1233</v>
      </c>
      <c r="G62" s="2">
        <v>29.7</v>
      </c>
      <c r="H62" s="2">
        <v>15</v>
      </c>
      <c r="AD62" s="5">
        <f t="shared" si="23"/>
        <v>1229.6643749999996</v>
      </c>
      <c r="AE62" s="2">
        <v>1710.15</v>
      </c>
      <c r="AF62" s="2">
        <v>-0.931423</v>
      </c>
      <c r="AG62" s="2">
        <v>1.61641E-3</v>
      </c>
      <c r="AH62" s="2">
        <f t="shared" si="30"/>
        <v>-1.6600800000000001E-6</v>
      </c>
      <c r="AI62" s="2">
        <v>7.7334599999999999E-10</v>
      </c>
      <c r="AJ62" s="2">
        <v>-1.3597600000000001E-13</v>
      </c>
      <c r="BB62">
        <f t="shared" si="28"/>
        <v>22</v>
      </c>
      <c r="BC62">
        <f t="shared" si="26"/>
        <v>268.88331782436836</v>
      </c>
      <c r="BD62">
        <f t="shared" si="27"/>
        <v>108.63591209061448</v>
      </c>
      <c r="BE62">
        <f>Koordinaten!$D$5+BC62</f>
        <v>749.88331782436831</v>
      </c>
      <c r="BF62">
        <f>Koordinaten!$D$6+BD62</f>
        <v>581.63591209061451</v>
      </c>
    </row>
    <row r="63" spans="3:58" x14ac:dyDescent="0.25">
      <c r="C63">
        <f t="shared" si="6"/>
        <v>1600</v>
      </c>
      <c r="D63" s="2">
        <v>3</v>
      </c>
      <c r="E63" s="2">
        <f t="shared" si="20"/>
        <v>1600</v>
      </c>
      <c r="F63" s="2">
        <v>1202</v>
      </c>
      <c r="G63" s="2">
        <v>29.4</v>
      </c>
      <c r="H63" s="2">
        <v>16</v>
      </c>
      <c r="AD63" s="5">
        <f t="shared" si="23"/>
        <v>1200.5837638400008</v>
      </c>
      <c r="AE63" s="2">
        <v>1710.15</v>
      </c>
      <c r="AF63" s="2">
        <v>-0.931423</v>
      </c>
      <c r="AG63" s="2">
        <v>1.61641E-3</v>
      </c>
      <c r="AH63" s="2">
        <f t="shared" si="30"/>
        <v>-1.6600800000000001E-6</v>
      </c>
      <c r="AI63" s="2">
        <v>7.7334599999999999E-10</v>
      </c>
      <c r="AJ63" s="2">
        <v>-1.3597600000000001E-13</v>
      </c>
      <c r="BB63">
        <f t="shared" si="28"/>
        <v>23</v>
      </c>
      <c r="BC63">
        <f t="shared" si="26"/>
        <v>266.94640750120772</v>
      </c>
      <c r="BD63">
        <f t="shared" si="27"/>
        <v>113.3120272618894</v>
      </c>
      <c r="BE63">
        <f>Koordinaten!$D$5+BC63</f>
        <v>747.94640750120766</v>
      </c>
      <c r="BF63">
        <f>Koordinaten!$D$6+BD63</f>
        <v>586.3120272618894</v>
      </c>
    </row>
    <row r="64" spans="3:58" x14ac:dyDescent="0.25">
      <c r="C64">
        <f t="shared" si="6"/>
        <v>1700</v>
      </c>
      <c r="D64" s="2">
        <v>3</v>
      </c>
      <c r="E64" s="2">
        <f t="shared" si="20"/>
        <v>1700</v>
      </c>
      <c r="F64" s="2">
        <v>1169</v>
      </c>
      <c r="G64" s="2">
        <v>29</v>
      </c>
      <c r="H64" s="2">
        <v>17</v>
      </c>
      <c r="AD64" s="5">
        <f t="shared" si="23"/>
        <v>1170.5811322799996</v>
      </c>
      <c r="AE64" s="2">
        <v>1710.15</v>
      </c>
      <c r="AF64" s="2">
        <v>-0.931423</v>
      </c>
      <c r="AG64" s="2">
        <v>1.61641E-3</v>
      </c>
      <c r="AH64" s="2">
        <f t="shared" si="30"/>
        <v>-1.6600800000000001E-6</v>
      </c>
      <c r="AI64" s="2">
        <v>7.7334599999999999E-10</v>
      </c>
      <c r="AJ64" s="2">
        <v>-1.3597600000000001E-13</v>
      </c>
      <c r="BB64">
        <f t="shared" si="28"/>
        <v>24</v>
      </c>
      <c r="BC64">
        <f t="shared" si="26"/>
        <v>264.92818271635423</v>
      </c>
      <c r="BD64">
        <f t="shared" si="27"/>
        <v>117.95362649198206</v>
      </c>
      <c r="BE64">
        <f>Koordinaten!$D$5+BC64</f>
        <v>745.92818271635429</v>
      </c>
      <c r="BF64">
        <f>Koordinaten!$D$6+BD64</f>
        <v>590.95362649198205</v>
      </c>
    </row>
    <row r="65" spans="3:58" x14ac:dyDescent="0.25">
      <c r="C65">
        <f t="shared" si="6"/>
        <v>1800</v>
      </c>
      <c r="D65" s="2">
        <v>3</v>
      </c>
      <c r="E65" s="2">
        <f t="shared" si="20"/>
        <v>1800</v>
      </c>
      <c r="F65" s="2">
        <v>1133</v>
      </c>
      <c r="G65" s="2">
        <v>28.5</v>
      </c>
      <c r="H65" s="2">
        <v>19</v>
      </c>
      <c r="AD65" s="5">
        <f t="shared" si="23"/>
        <v>1138.0884259199993</v>
      </c>
      <c r="AE65" s="2">
        <v>1710.15</v>
      </c>
      <c r="AF65" s="2">
        <v>-0.931423</v>
      </c>
      <c r="AG65" s="2">
        <v>1.61641E-3</v>
      </c>
      <c r="AH65" s="2">
        <f t="shared" si="30"/>
        <v>-1.6600800000000001E-6</v>
      </c>
      <c r="AI65" s="2">
        <v>7.7334599999999999E-10</v>
      </c>
      <c r="AJ65" s="2">
        <v>-1.3597600000000001E-13</v>
      </c>
      <c r="BB65">
        <f t="shared" si="28"/>
        <v>25</v>
      </c>
      <c r="BC65">
        <f t="shared" si="26"/>
        <v>262.82925824062846</v>
      </c>
      <c r="BD65">
        <f t="shared" si="27"/>
        <v>122.55929590480284</v>
      </c>
      <c r="BE65">
        <f>Koordinaten!$D$5+BC65</f>
        <v>743.82925824062841</v>
      </c>
      <c r="BF65">
        <f>Koordinaten!$D$6+BD65</f>
        <v>595.55929590480287</v>
      </c>
    </row>
    <row r="66" spans="3:58" x14ac:dyDescent="0.25">
      <c r="C66">
        <f t="shared" si="6"/>
        <v>1900</v>
      </c>
      <c r="D66" s="2">
        <v>3</v>
      </c>
      <c r="E66" s="2">
        <f t="shared" si="20"/>
        <v>1900</v>
      </c>
      <c r="F66" s="2">
        <v>1094</v>
      </c>
      <c r="G66" s="2">
        <v>28</v>
      </c>
      <c r="H66" s="2">
        <v>21</v>
      </c>
      <c r="AD66" s="5">
        <f t="shared" si="23"/>
        <v>1100.6197103599984</v>
      </c>
      <c r="AE66" s="2">
        <v>1710.15</v>
      </c>
      <c r="AF66" s="2">
        <v>-0.931423</v>
      </c>
      <c r="AG66" s="2">
        <v>1.61641E-3</v>
      </c>
      <c r="AH66" s="2">
        <f t="shared" si="30"/>
        <v>-1.6600800000000001E-6</v>
      </c>
      <c r="AI66" s="2">
        <v>7.7334599999999999E-10</v>
      </c>
      <c r="AJ66" s="2">
        <v>-1.3597600000000001E-13</v>
      </c>
      <c r="BB66">
        <f t="shared" si="28"/>
        <v>26</v>
      </c>
      <c r="BC66">
        <f t="shared" si="26"/>
        <v>260.65027342675842</v>
      </c>
      <c r="BD66">
        <f t="shared" si="27"/>
        <v>127.12763256883245</v>
      </c>
      <c r="BE66">
        <f>Koordinaten!$D$5+BC66</f>
        <v>741.65027342675842</v>
      </c>
      <c r="BF66">
        <f>Koordinaten!$D$6+BD66</f>
        <v>600.1276325688325</v>
      </c>
    </row>
    <row r="67" spans="3:58" x14ac:dyDescent="0.25">
      <c r="C67">
        <f t="shared" si="6"/>
        <v>2000</v>
      </c>
      <c r="D67" s="2">
        <v>3</v>
      </c>
      <c r="E67" s="2">
        <f t="shared" si="20"/>
        <v>2000</v>
      </c>
      <c r="F67" s="2">
        <v>1051</v>
      </c>
      <c r="G67" s="2">
        <v>27.3</v>
      </c>
      <c r="H67" s="2">
        <v>26</v>
      </c>
      <c r="AD67" s="5">
        <f t="shared" si="23"/>
        <v>1054.6079999999993</v>
      </c>
      <c r="AE67" s="2">
        <v>1710.15</v>
      </c>
      <c r="AF67" s="2">
        <v>-0.931423</v>
      </c>
      <c r="AG67" s="2">
        <v>1.61641E-3</v>
      </c>
      <c r="AH67" s="2">
        <f t="shared" si="30"/>
        <v>-1.6600800000000001E-6</v>
      </c>
      <c r="AI67" s="2">
        <v>7.7334599999999999E-10</v>
      </c>
      <c r="AJ67" s="2">
        <v>-1.3597600000000001E-13</v>
      </c>
      <c r="BB67">
        <f t="shared" si="28"/>
        <v>27</v>
      </c>
      <c r="BC67">
        <f t="shared" si="26"/>
        <v>258.39189201462671</v>
      </c>
      <c r="BD67">
        <f t="shared" si="27"/>
        <v>131.65724492446856</v>
      </c>
      <c r="BE67">
        <f>Koordinaten!$D$5+BC67</f>
        <v>739.39189201462671</v>
      </c>
      <c r="BF67">
        <f>Koordinaten!$D$6+BD67</f>
        <v>604.65724492446861</v>
      </c>
    </row>
    <row r="68" spans="3:58" x14ac:dyDescent="0.25">
      <c r="C68">
        <f t="shared" si="6"/>
        <v>2100</v>
      </c>
      <c r="D68" s="2">
        <v>3</v>
      </c>
      <c r="E68" s="2">
        <f t="shared" si="20"/>
        <v>2100</v>
      </c>
      <c r="F68" s="2">
        <v>999</v>
      </c>
      <c r="G68" s="2">
        <v>26.5</v>
      </c>
      <c r="H68" s="2">
        <v>31</v>
      </c>
      <c r="AD68" s="5">
        <f t="shared" ref="AD68:AD96" si="31">AJ68*C68^5+AI68*C68^4+AH68*C68^3+AG68*C68^2+AF68*C68+AE68</f>
        <v>995.24208683999814</v>
      </c>
      <c r="AE68" s="2">
        <v>1710.15</v>
      </c>
      <c r="AF68" s="2">
        <v>-0.931423</v>
      </c>
      <c r="AG68" s="2">
        <v>1.61641E-3</v>
      </c>
      <c r="AH68" s="2">
        <f t="shared" si="30"/>
        <v>-1.6600800000000001E-6</v>
      </c>
      <c r="AI68" s="2">
        <v>7.7334599999999999E-10</v>
      </c>
      <c r="AJ68" s="2">
        <v>-1.3597600000000001E-13</v>
      </c>
      <c r="BB68">
        <f t="shared" si="28"/>
        <v>28</v>
      </c>
      <c r="BC68">
        <f t="shared" si="26"/>
        <v>256.05480192908885</v>
      </c>
      <c r="BD68">
        <f t="shared" si="27"/>
        <v>136.14675320790835</v>
      </c>
      <c r="BE68">
        <f>Koordinaten!$D$5+BC68</f>
        <v>737.05480192908885</v>
      </c>
      <c r="BF68">
        <f>Koordinaten!$D$6+BD68</f>
        <v>609.14675320790832</v>
      </c>
    </row>
    <row r="69" spans="3:58" x14ac:dyDescent="0.25">
      <c r="C69">
        <f t="shared" si="6"/>
        <v>2200</v>
      </c>
      <c r="D69" s="2">
        <v>3</v>
      </c>
      <c r="E69" s="2">
        <f t="shared" si="20"/>
        <v>2200</v>
      </c>
      <c r="F69" s="2">
        <v>931</v>
      </c>
      <c r="G69" s="2">
        <v>25.3</v>
      </c>
      <c r="H69" s="2">
        <v>46</v>
      </c>
      <c r="AD69" s="5">
        <f t="shared" si="31"/>
        <v>916.30336927999906</v>
      </c>
      <c r="AE69" s="2">
        <v>1710.15</v>
      </c>
      <c r="AF69" s="2">
        <v>-0.931423</v>
      </c>
      <c r="AG69" s="2">
        <v>1.61641E-3</v>
      </c>
      <c r="AH69" s="2">
        <f t="shared" si="30"/>
        <v>-1.6600800000000001E-6</v>
      </c>
      <c r="AI69" s="2">
        <v>7.7334599999999999E-10</v>
      </c>
      <c r="AJ69" s="2">
        <v>-1.3597600000000001E-13</v>
      </c>
      <c r="BB69">
        <f t="shared" si="28"/>
        <v>29</v>
      </c>
      <c r="BC69">
        <f t="shared" si="26"/>
        <v>253.63971507042476</v>
      </c>
      <c r="BD69">
        <f t="shared" si="27"/>
        <v>140.59478987143774</v>
      </c>
      <c r="BE69">
        <f>Koordinaten!$D$5+BC69</f>
        <v>734.6397150704247</v>
      </c>
      <c r="BF69">
        <f>Koordinaten!$D$6+BD69</f>
        <v>613.5947898714378</v>
      </c>
    </row>
    <row r="70" spans="3:58" x14ac:dyDescent="0.25">
      <c r="C70">
        <f t="shared" si="6"/>
        <v>2300</v>
      </c>
      <c r="D70" s="2">
        <v>3</v>
      </c>
      <c r="E70" s="2">
        <f t="shared" si="20"/>
        <v>2300</v>
      </c>
      <c r="F70" s="2">
        <v>801</v>
      </c>
      <c r="G70" s="2">
        <v>22.7</v>
      </c>
      <c r="H70" s="3"/>
      <c r="I70" s="3"/>
      <c r="J70" s="3"/>
      <c r="K70" s="3"/>
      <c r="L70" s="3"/>
      <c r="M70" s="3"/>
      <c r="N70" s="3"/>
      <c r="O70" s="3"/>
      <c r="P70" s="3"/>
      <c r="Q70" s="3"/>
      <c r="AD70" s="5">
        <f t="shared" si="31"/>
        <v>810.00268091999942</v>
      </c>
      <c r="AE70" s="2">
        <v>1710.15</v>
      </c>
      <c r="AF70" s="2">
        <v>-0.931423</v>
      </c>
      <c r="AG70" s="2">
        <v>1.61641E-3</v>
      </c>
      <c r="AH70" s="2">
        <f t="shared" si="30"/>
        <v>-1.6600800000000001E-6</v>
      </c>
      <c r="AI70" s="2">
        <v>7.7334599999999999E-10</v>
      </c>
      <c r="AJ70" s="2">
        <v>-1.3597600000000001E-13</v>
      </c>
      <c r="AL70" s="3"/>
      <c r="AM70" s="3"/>
      <c r="AN70" s="3"/>
      <c r="AO70" s="1"/>
      <c r="BB70">
        <f t="shared" si="28"/>
        <v>30</v>
      </c>
      <c r="BC70">
        <f t="shared" si="26"/>
        <v>251.14736709748723</v>
      </c>
      <c r="BD70">
        <f t="shared" si="27"/>
        <v>144.99999999999997</v>
      </c>
      <c r="BE70">
        <f>Koordinaten!$D$5+BC70</f>
        <v>732.14736709748718</v>
      </c>
      <c r="BF70">
        <f>Koordinaten!$D$6+BD70</f>
        <v>618</v>
      </c>
    </row>
    <row r="71" spans="3:58" x14ac:dyDescent="0.25">
      <c r="C71">
        <f t="shared" si="6"/>
        <v>400</v>
      </c>
      <c r="D71" s="2">
        <v>4</v>
      </c>
      <c r="E71" s="2">
        <v>400</v>
      </c>
      <c r="F71" s="2">
        <v>1531</v>
      </c>
      <c r="G71" s="2">
        <v>36.299999999999997</v>
      </c>
      <c r="H71" s="4">
        <v>9</v>
      </c>
      <c r="I71" s="4"/>
      <c r="J71" s="4"/>
      <c r="K71" s="4"/>
      <c r="L71" s="4"/>
      <c r="M71" s="4"/>
      <c r="N71" s="4"/>
      <c r="O71" s="4"/>
      <c r="P71" s="4"/>
      <c r="Q71" s="4"/>
      <c r="AD71" s="6">
        <f t="shared" si="31"/>
        <v>1532.7675287039999</v>
      </c>
      <c r="AE71" s="4">
        <v>1652.31</v>
      </c>
      <c r="AF71" s="4">
        <f>-0.430979</f>
        <v>-0.430979</v>
      </c>
      <c r="AG71" s="4">
        <v>4.59345E-4</v>
      </c>
      <c r="AH71" s="4">
        <f>-0.000000374758</f>
        <v>-3.74758E-7</v>
      </c>
      <c r="AI71" s="4">
        <v>1.3826799999999999E-10</v>
      </c>
      <c r="AJ71" s="4">
        <f>-0.0000000000000196504</f>
        <v>-1.9650400000000001E-14</v>
      </c>
      <c r="BB71">
        <f t="shared" si="28"/>
        <v>31</v>
      </c>
      <c r="BC71">
        <f t="shared" si="26"/>
        <v>248.57851720361256</v>
      </c>
      <c r="BD71">
        <f t="shared" si="27"/>
        <v>149.36104172391572</v>
      </c>
      <c r="BE71">
        <f>Koordinaten!$D$5+BC71</f>
        <v>729.57851720361259</v>
      </c>
      <c r="BF71">
        <f>Koordinaten!$D$6+BD71</f>
        <v>622.36104172391572</v>
      </c>
    </row>
    <row r="72" spans="3:58" x14ac:dyDescent="0.25">
      <c r="C72">
        <f t="shared" si="6"/>
        <v>500</v>
      </c>
      <c r="D72" s="2">
        <v>4</v>
      </c>
      <c r="E72" s="2">
        <f t="shared" si="20"/>
        <v>500</v>
      </c>
      <c r="F72" s="2">
        <v>1514</v>
      </c>
      <c r="G72" s="2">
        <v>36.200000000000003</v>
      </c>
      <c r="H72" s="2">
        <v>9</v>
      </c>
      <c r="AD72" s="5">
        <f t="shared" si="31"/>
        <v>1512.8396749999999</v>
      </c>
      <c r="AE72" s="2">
        <v>1652.31</v>
      </c>
      <c r="AF72" s="2">
        <v>-0.430979</v>
      </c>
      <c r="AG72" s="2">
        <v>4.59345E-4</v>
      </c>
      <c r="AH72" s="2">
        <f t="shared" ref="AH72:AH96" si="32">-0.000000374758</f>
        <v>-3.74758E-7</v>
      </c>
      <c r="AI72" s="2">
        <v>1.3826799999999999E-10</v>
      </c>
      <c r="AJ72" s="2">
        <f t="shared" ref="AJ72:AJ96" si="33">-0.0000000000000196504</f>
        <v>-1.9650400000000001E-14</v>
      </c>
      <c r="BB72">
        <f t="shared" si="28"/>
        <v>32</v>
      </c>
      <c r="BC72">
        <f t="shared" si="26"/>
        <v>245.93394788536352</v>
      </c>
      <c r="BD72">
        <f t="shared" si="27"/>
        <v>153.67658662762943</v>
      </c>
      <c r="BE72">
        <f>Koordinaten!$D$5+BC72</f>
        <v>726.93394788536352</v>
      </c>
      <c r="BF72">
        <f>Koordinaten!$D$6+BD72</f>
        <v>626.67658662762938</v>
      </c>
    </row>
    <row r="73" spans="3:58" x14ac:dyDescent="0.25">
      <c r="C73">
        <f t="shared" si="6"/>
        <v>600</v>
      </c>
      <c r="D73" s="2">
        <v>4</v>
      </c>
      <c r="E73" s="2">
        <f t="shared" si="20"/>
        <v>600</v>
      </c>
      <c r="F73" s="2">
        <v>1496</v>
      </c>
      <c r="G73" s="2">
        <v>36.200000000000003</v>
      </c>
      <c r="H73" s="2">
        <v>9</v>
      </c>
      <c r="AD73" s="5">
        <f t="shared" si="31"/>
        <v>1494.5305896959999</v>
      </c>
      <c r="AE73" s="2">
        <v>1652.31</v>
      </c>
      <c r="AF73" s="2">
        <v>-0.430979</v>
      </c>
      <c r="AG73" s="2">
        <v>4.59345E-4</v>
      </c>
      <c r="AH73" s="2">
        <f t="shared" si="32"/>
        <v>-3.74758E-7</v>
      </c>
      <c r="AI73" s="2">
        <v>1.3826799999999999E-10</v>
      </c>
      <c r="AJ73" s="2">
        <f t="shared" si="33"/>
        <v>-1.9650400000000001E-14</v>
      </c>
      <c r="BB73">
        <f t="shared" si="28"/>
        <v>33</v>
      </c>
      <c r="BC73">
        <f t="shared" si="26"/>
        <v>243.21446470417297</v>
      </c>
      <c r="BD73">
        <f t="shared" si="27"/>
        <v>157.94532015435786</v>
      </c>
      <c r="BE73">
        <f>Koordinaten!$D$5+BC73</f>
        <v>724.214464704173</v>
      </c>
      <c r="BF73">
        <f>Koordinaten!$D$6+BD73</f>
        <v>630.94532015435789</v>
      </c>
    </row>
    <row r="74" spans="3:58" x14ac:dyDescent="0.25">
      <c r="C74">
        <f t="shared" si="6"/>
        <v>700</v>
      </c>
      <c r="D74" s="2">
        <v>4</v>
      </c>
      <c r="E74" s="2">
        <f t="shared" si="20"/>
        <v>700</v>
      </c>
      <c r="F74" s="2">
        <v>1478</v>
      </c>
      <c r="G74" s="2">
        <v>36.1</v>
      </c>
      <c r="H74" s="2">
        <v>9</v>
      </c>
      <c r="AD74" s="5">
        <f t="shared" si="31"/>
        <v>1477.057260072</v>
      </c>
      <c r="AE74" s="2">
        <v>1652.31</v>
      </c>
      <c r="AF74" s="2">
        <v>-0.430979</v>
      </c>
      <c r="AG74" s="2">
        <v>4.59345E-4</v>
      </c>
      <c r="AH74" s="2">
        <f t="shared" si="32"/>
        <v>-3.74758E-7</v>
      </c>
      <c r="AI74" s="2">
        <v>1.3826799999999999E-10</v>
      </c>
      <c r="AJ74" s="2">
        <f t="shared" si="33"/>
        <v>-1.9650400000000001E-14</v>
      </c>
      <c r="BB74">
        <f t="shared" si="28"/>
        <v>34</v>
      </c>
      <c r="BC74">
        <f t="shared" si="26"/>
        <v>240.42089604096208</v>
      </c>
      <c r="BD74">
        <f t="shared" si="27"/>
        <v>162.16594200651662</v>
      </c>
      <c r="BE74">
        <f>Koordinaten!$D$5+BC74</f>
        <v>721.42089604096213</v>
      </c>
      <c r="BF74">
        <f>Koordinaten!$D$6+BD74</f>
        <v>635.16594200651662</v>
      </c>
    </row>
    <row r="75" spans="3:58" x14ac:dyDescent="0.25">
      <c r="C75">
        <f t="shared" si="6"/>
        <v>800</v>
      </c>
      <c r="D75" s="2">
        <v>4</v>
      </c>
      <c r="E75" s="2">
        <f t="shared" si="20"/>
        <v>800</v>
      </c>
      <c r="F75" s="2">
        <v>1460</v>
      </c>
      <c r="G75" s="2">
        <v>36</v>
      </c>
      <c r="H75" s="2">
        <v>9</v>
      </c>
      <c r="AD75" s="5">
        <f t="shared" si="31"/>
        <v>1459.8270337279998</v>
      </c>
      <c r="AE75" s="2">
        <v>1652.31</v>
      </c>
      <c r="AF75" s="2">
        <v>-0.430979</v>
      </c>
      <c r="AG75" s="2">
        <v>4.59345E-4</v>
      </c>
      <c r="AH75" s="2">
        <f t="shared" si="32"/>
        <v>-3.74758E-7</v>
      </c>
      <c r="AI75" s="2">
        <v>1.3826799999999999E-10</v>
      </c>
      <c r="AJ75" s="2">
        <f t="shared" si="33"/>
        <v>-1.9650400000000001E-14</v>
      </c>
      <c r="BB75">
        <f t="shared" si="28"/>
        <v>35</v>
      </c>
      <c r="BC75">
        <f t="shared" si="26"/>
        <v>237.55409284380761</v>
      </c>
      <c r="BD75">
        <f t="shared" si="27"/>
        <v>166.33716654180336</v>
      </c>
      <c r="BE75">
        <f>Koordinaten!$D$5+BC75</f>
        <v>718.55409284380767</v>
      </c>
      <c r="BF75">
        <f>Koordinaten!$D$6+BD75</f>
        <v>639.3371665418033</v>
      </c>
    </row>
    <row r="76" spans="3:58" x14ac:dyDescent="0.25">
      <c r="C76">
        <f t="shared" si="6"/>
        <v>900</v>
      </c>
      <c r="D76" s="2">
        <v>4</v>
      </c>
      <c r="E76" s="2">
        <f t="shared" si="20"/>
        <v>900</v>
      </c>
      <c r="F76" s="2">
        <v>1442</v>
      </c>
      <c r="G76" s="2">
        <v>35.9</v>
      </c>
      <c r="H76" s="2">
        <v>9</v>
      </c>
      <c r="AD76" s="5">
        <f t="shared" si="31"/>
        <v>1442.4140381039999</v>
      </c>
      <c r="AE76" s="2">
        <v>1652.31</v>
      </c>
      <c r="AF76" s="2">
        <v>-0.430979</v>
      </c>
      <c r="AG76" s="2">
        <v>4.59345E-4</v>
      </c>
      <c r="AH76" s="2">
        <f t="shared" si="32"/>
        <v>-3.74758E-7</v>
      </c>
      <c r="AI76" s="2">
        <v>1.3826799999999999E-10</v>
      </c>
      <c r="AJ76" s="2">
        <f t="shared" si="33"/>
        <v>-1.9650400000000001E-14</v>
      </c>
      <c r="BB76">
        <f t="shared" si="28"/>
        <v>36</v>
      </c>
      <c r="BC76">
        <f t="shared" si="26"/>
        <v>234.61492836873475</v>
      </c>
      <c r="BD76">
        <f t="shared" si="27"/>
        <v>170.4577231648172</v>
      </c>
      <c r="BE76">
        <f>Koordinaten!$D$5+BC76</f>
        <v>715.61492836873481</v>
      </c>
      <c r="BF76">
        <f>Koordinaten!$D$6+BD76</f>
        <v>643.45772316481725</v>
      </c>
    </row>
    <row r="77" spans="3:58" x14ac:dyDescent="0.25">
      <c r="C77">
        <f t="shared" si="6"/>
        <v>1000</v>
      </c>
      <c r="D77" s="2">
        <v>4</v>
      </c>
      <c r="E77" s="2">
        <f t="shared" si="20"/>
        <v>1000</v>
      </c>
      <c r="F77" s="2">
        <v>1424</v>
      </c>
      <c r="G77" s="2">
        <v>35.799999999999997</v>
      </c>
      <c r="H77" s="2">
        <v>10</v>
      </c>
      <c r="AD77" s="5">
        <f t="shared" si="31"/>
        <v>1424.5355999999999</v>
      </c>
      <c r="AE77" s="2">
        <v>1652.31</v>
      </c>
      <c r="AF77" s="2">
        <v>-0.430979</v>
      </c>
      <c r="AG77" s="2">
        <v>4.59345E-4</v>
      </c>
      <c r="AH77" s="2">
        <f t="shared" si="32"/>
        <v>-3.74758E-7</v>
      </c>
      <c r="AI77" s="2">
        <v>1.3826799999999999E-10</v>
      </c>
      <c r="AJ77" s="2">
        <f t="shared" si="33"/>
        <v>-1.9650400000000001E-14</v>
      </c>
      <c r="BB77">
        <f t="shared" si="28"/>
        <v>37</v>
      </c>
      <c r="BC77">
        <f t="shared" si="26"/>
        <v>231.60429791371493</v>
      </c>
      <c r="BD77">
        <f t="shared" si="27"/>
        <v>174.52635671409399</v>
      </c>
      <c r="BE77">
        <f>Koordinaten!$D$5+BC77</f>
        <v>712.60429791371496</v>
      </c>
      <c r="BF77">
        <f>Koordinaten!$D$6+BD77</f>
        <v>647.52635671409394</v>
      </c>
    </row>
    <row r="78" spans="3:58" x14ac:dyDescent="0.25">
      <c r="C78">
        <f t="shared" si="6"/>
        <v>1100</v>
      </c>
      <c r="D78" s="2">
        <v>4</v>
      </c>
      <c r="E78" s="2">
        <f t="shared" si="20"/>
        <v>1100</v>
      </c>
      <c r="F78" s="2">
        <v>1405</v>
      </c>
      <c r="G78" s="2">
        <v>35.700000000000003</v>
      </c>
      <c r="H78" s="2">
        <v>10</v>
      </c>
      <c r="AD78" s="5">
        <f t="shared" si="31"/>
        <v>1406.0286650959999</v>
      </c>
      <c r="AE78" s="2">
        <v>1652.31</v>
      </c>
      <c r="AF78" s="2">
        <v>-0.430979</v>
      </c>
      <c r="AG78" s="2">
        <v>4.59345E-4</v>
      </c>
      <c r="AH78" s="2">
        <f t="shared" si="32"/>
        <v>-3.74758E-7</v>
      </c>
      <c r="AI78" s="2">
        <v>1.3826799999999999E-10</v>
      </c>
      <c r="AJ78" s="2">
        <f t="shared" si="33"/>
        <v>-1.9650400000000001E-14</v>
      </c>
      <c r="BB78">
        <f t="shared" si="28"/>
        <v>38</v>
      </c>
      <c r="BC78">
        <f t="shared" si="26"/>
        <v>228.52311854594936</v>
      </c>
      <c r="BD78">
        <f t="shared" si="27"/>
        <v>178.54182784444092</v>
      </c>
      <c r="BE78">
        <f>Koordinaten!$D$5+BC78</f>
        <v>709.52311854594939</v>
      </c>
      <c r="BF78">
        <f>Koordinaten!$D$6+BD78</f>
        <v>651.54182784444095</v>
      </c>
    </row>
    <row r="79" spans="3:58" x14ac:dyDescent="0.25">
      <c r="C79">
        <f t="shared" si="6"/>
        <v>1200</v>
      </c>
      <c r="D79" s="2">
        <v>4</v>
      </c>
      <c r="E79" s="2">
        <f t="shared" si="20"/>
        <v>1200</v>
      </c>
      <c r="F79" s="2">
        <v>1385</v>
      </c>
      <c r="G79" s="2">
        <v>35.6</v>
      </c>
      <c r="H79" s="2">
        <v>10</v>
      </c>
      <c r="AD79" s="5">
        <f t="shared" si="31"/>
        <v>1386.8262174720001</v>
      </c>
      <c r="AE79" s="2">
        <v>1652.31</v>
      </c>
      <c r="AF79" s="2">
        <v>-0.430979</v>
      </c>
      <c r="AG79" s="2">
        <v>4.59345E-4</v>
      </c>
      <c r="AH79" s="2">
        <f t="shared" si="32"/>
        <v>-3.74758E-7</v>
      </c>
      <c r="AI79" s="2">
        <v>1.3826799999999999E-10</v>
      </c>
      <c r="AJ79" s="2">
        <f t="shared" si="33"/>
        <v>-1.9650400000000001E-14</v>
      </c>
      <c r="BB79">
        <f t="shared" si="28"/>
        <v>39</v>
      </c>
      <c r="BC79">
        <f t="shared" si="26"/>
        <v>225.37232882252155</v>
      </c>
      <c r="BD79">
        <f t="shared" si="27"/>
        <v>182.50291340445284</v>
      </c>
      <c r="BE79">
        <f>Koordinaten!$D$5+BC79</f>
        <v>706.37232882252158</v>
      </c>
      <c r="BF79">
        <f>Koordinaten!$D$6+BD79</f>
        <v>655.50291340445278</v>
      </c>
    </row>
    <row r="80" spans="3:58" x14ac:dyDescent="0.25">
      <c r="C80">
        <f t="shared" si="6"/>
        <v>1300</v>
      </c>
      <c r="D80" s="2">
        <v>4</v>
      </c>
      <c r="E80" s="2">
        <f t="shared" si="20"/>
        <v>1300</v>
      </c>
      <c r="F80" s="2">
        <v>1366</v>
      </c>
      <c r="G80" s="2">
        <v>35.4</v>
      </c>
      <c r="H80" s="2">
        <v>10</v>
      </c>
      <c r="AD80" s="5">
        <f t="shared" si="31"/>
        <v>1366.9336991279999</v>
      </c>
      <c r="AE80" s="2">
        <v>1652.31</v>
      </c>
      <c r="AF80" s="2">
        <v>-0.430979</v>
      </c>
      <c r="AG80" s="2">
        <v>4.59345E-4</v>
      </c>
      <c r="AH80" s="2">
        <f t="shared" si="32"/>
        <v>-3.74758E-7</v>
      </c>
      <c r="AI80" s="2">
        <v>1.3826799999999999E-10</v>
      </c>
      <c r="AJ80" s="2">
        <f t="shared" si="33"/>
        <v>-1.9650400000000001E-14</v>
      </c>
      <c r="BB80">
        <f t="shared" si="28"/>
        <v>40</v>
      </c>
      <c r="BC80">
        <f t="shared" si="26"/>
        <v>222.15288850450364</v>
      </c>
      <c r="BD80">
        <f t="shared" si="27"/>
        <v>186.40840680909639</v>
      </c>
      <c r="BE80">
        <f>Koordinaten!$D$5+BC80</f>
        <v>703.15288850450361</v>
      </c>
      <c r="BF80">
        <f>Koordinaten!$D$6+BD80</f>
        <v>659.40840680909639</v>
      </c>
    </row>
    <row r="81" spans="3:58" x14ac:dyDescent="0.25">
      <c r="C81">
        <f t="shared" si="6"/>
        <v>1400</v>
      </c>
      <c r="D81" s="2">
        <v>4</v>
      </c>
      <c r="E81" s="2">
        <f t="shared" si="20"/>
        <v>1400</v>
      </c>
      <c r="F81" s="2">
        <v>1346</v>
      </c>
      <c r="G81" s="2">
        <v>35.299999999999997</v>
      </c>
      <c r="H81" s="2">
        <v>10</v>
      </c>
      <c r="AD81" s="5">
        <f t="shared" si="31"/>
        <v>1346.405429504</v>
      </c>
      <c r="AE81" s="2">
        <v>1652.31</v>
      </c>
      <c r="AF81" s="2">
        <v>-0.430979</v>
      </c>
      <c r="AG81" s="2">
        <v>4.59345E-4</v>
      </c>
      <c r="AH81" s="2">
        <f t="shared" si="32"/>
        <v>-3.74758E-7</v>
      </c>
      <c r="AI81" s="2">
        <v>1.3826799999999999E-10</v>
      </c>
      <c r="AJ81" s="2">
        <f t="shared" si="33"/>
        <v>-1.9650400000000001E-14</v>
      </c>
      <c r="BB81">
        <f t="shared" si="28"/>
        <v>41</v>
      </c>
      <c r="BC81">
        <f t="shared" si="26"/>
        <v>218.86577826460388</v>
      </c>
      <c r="BD81">
        <f t="shared" si="27"/>
        <v>190.25711840724711</v>
      </c>
      <c r="BE81">
        <f>Koordinaten!$D$5+BC81</f>
        <v>699.86577826460393</v>
      </c>
      <c r="BF81">
        <f>Koordinaten!$D$6+BD81</f>
        <v>663.25711840724716</v>
      </c>
    </row>
    <row r="82" spans="3:58" x14ac:dyDescent="0.25">
      <c r="C82">
        <f t="shared" si="6"/>
        <v>1500</v>
      </c>
      <c r="D82" s="2">
        <v>4</v>
      </c>
      <c r="E82" s="2">
        <f t="shared" si="20"/>
        <v>1500</v>
      </c>
      <c r="F82" s="2">
        <v>1326</v>
      </c>
      <c r="G82" s="2">
        <v>35.1</v>
      </c>
      <c r="H82" s="2">
        <v>11</v>
      </c>
      <c r="AD82" s="5">
        <f t="shared" si="31"/>
        <v>1325.3210249999997</v>
      </c>
      <c r="AE82" s="2">
        <v>1652.31</v>
      </c>
      <c r="AF82" s="2">
        <v>-0.430979</v>
      </c>
      <c r="AG82" s="2">
        <v>4.59345E-4</v>
      </c>
      <c r="AH82" s="2">
        <f t="shared" si="32"/>
        <v>-3.74758E-7</v>
      </c>
      <c r="AI82" s="2">
        <v>1.3826799999999999E-10</v>
      </c>
      <c r="AJ82" s="2">
        <f t="shared" si="33"/>
        <v>-1.9650400000000001E-14</v>
      </c>
      <c r="BB82">
        <f t="shared" si="28"/>
        <v>42</v>
      </c>
      <c r="BC82">
        <f t="shared" si="26"/>
        <v>215.51199938844434</v>
      </c>
      <c r="BD82">
        <f t="shared" si="27"/>
        <v>194.0478758440689</v>
      </c>
      <c r="BE82">
        <f>Koordinaten!$D$5+BC82</f>
        <v>696.51199938844434</v>
      </c>
      <c r="BF82">
        <f>Koordinaten!$D$6+BD82</f>
        <v>667.04787584406893</v>
      </c>
    </row>
    <row r="83" spans="3:58" x14ac:dyDescent="0.25">
      <c r="C83">
        <f t="shared" ref="C83:C96" si="34">E83</f>
        <v>1600</v>
      </c>
      <c r="D83" s="2">
        <v>4</v>
      </c>
      <c r="E83" s="2">
        <f t="shared" si="20"/>
        <v>1600</v>
      </c>
      <c r="F83" s="2">
        <v>1305</v>
      </c>
      <c r="G83" s="2">
        <v>34.9</v>
      </c>
      <c r="H83" s="2">
        <v>11</v>
      </c>
      <c r="AD83" s="5">
        <f t="shared" si="31"/>
        <v>1303.7618184959997</v>
      </c>
      <c r="AE83" s="2">
        <v>1652.31</v>
      </c>
      <c r="AF83" s="2">
        <v>-0.430979</v>
      </c>
      <c r="AG83" s="2">
        <v>4.59345E-4</v>
      </c>
      <c r="AH83" s="2">
        <f t="shared" si="32"/>
        <v>-3.74758E-7</v>
      </c>
      <c r="AI83" s="2">
        <v>1.3826799999999999E-10</v>
      </c>
      <c r="AJ83" s="2">
        <f t="shared" si="33"/>
        <v>-1.9650400000000001E-14</v>
      </c>
      <c r="BB83">
        <f t="shared" si="28"/>
        <v>43</v>
      </c>
      <c r="BC83">
        <f t="shared" si="26"/>
        <v>212.09257346955943</v>
      </c>
      <c r="BD83">
        <f t="shared" si="27"/>
        <v>197.77952441812457</v>
      </c>
      <c r="BE83">
        <f>Koordinaten!$D$5+BC83</f>
        <v>693.0925734695594</v>
      </c>
      <c r="BF83">
        <f>Koordinaten!$D$6+BD83</f>
        <v>670.77952441812454</v>
      </c>
    </row>
    <row r="84" spans="3:58" x14ac:dyDescent="0.25">
      <c r="C84">
        <f t="shared" si="34"/>
        <v>1700</v>
      </c>
      <c r="D84" s="2">
        <v>4</v>
      </c>
      <c r="E84" s="2">
        <f t="shared" si="20"/>
        <v>1700</v>
      </c>
      <c r="F84" s="2">
        <v>1283</v>
      </c>
      <c r="G84" s="2">
        <v>34.6</v>
      </c>
      <c r="H84" s="2">
        <v>11</v>
      </c>
      <c r="AD84" s="5">
        <f t="shared" si="31"/>
        <v>1281.7872788719997</v>
      </c>
      <c r="AE84" s="2">
        <v>1652.31</v>
      </c>
      <c r="AF84" s="2">
        <v>-0.430979</v>
      </c>
      <c r="AG84" s="2">
        <v>4.59345E-4</v>
      </c>
      <c r="AH84" s="2">
        <f t="shared" si="32"/>
        <v>-3.74758E-7</v>
      </c>
      <c r="AI84" s="2">
        <v>1.3826799999999999E-10</v>
      </c>
      <c r="AJ84" s="2">
        <f t="shared" si="33"/>
        <v>-1.9650400000000001E-14</v>
      </c>
      <c r="BB84">
        <f t="shared" si="28"/>
        <v>44</v>
      </c>
      <c r="BC84">
        <f t="shared" si="26"/>
        <v>208.60854209820886</v>
      </c>
      <c r="BD84">
        <f t="shared" si="27"/>
        <v>201.4509274331092</v>
      </c>
      <c r="BE84">
        <f>Koordinaten!$D$5+BC84</f>
        <v>689.60854209820889</v>
      </c>
      <c r="BF84">
        <f>Koordinaten!$D$6+BD84</f>
        <v>674.4509274331092</v>
      </c>
    </row>
    <row r="85" spans="3:58" x14ac:dyDescent="0.25">
      <c r="C85">
        <f t="shared" si="34"/>
        <v>1800</v>
      </c>
      <c r="D85" s="2">
        <v>4</v>
      </c>
      <c r="E85" s="2">
        <f t="shared" si="20"/>
        <v>1800</v>
      </c>
      <c r="F85" s="2">
        <v>1261</v>
      </c>
      <c r="G85" s="2">
        <v>34.4</v>
      </c>
      <c r="H85" s="2">
        <v>11</v>
      </c>
      <c r="AD85" s="5">
        <f t="shared" si="31"/>
        <v>1259.411430528</v>
      </c>
      <c r="AE85" s="2">
        <v>1652.31</v>
      </c>
      <c r="AF85" s="2">
        <v>-0.430979</v>
      </c>
      <c r="AG85" s="2">
        <v>4.59345E-4</v>
      </c>
      <c r="AH85" s="2">
        <f t="shared" si="32"/>
        <v>-3.74758E-7</v>
      </c>
      <c r="AI85" s="2">
        <v>1.3826799999999999E-10</v>
      </c>
      <c r="AJ85" s="2">
        <f t="shared" si="33"/>
        <v>-1.9650400000000001E-14</v>
      </c>
      <c r="BB85">
        <f t="shared" si="28"/>
        <v>45</v>
      </c>
      <c r="BC85">
        <f t="shared" si="26"/>
        <v>205.06096654409879</v>
      </c>
      <c r="BD85">
        <f t="shared" si="27"/>
        <v>205.06096654409876</v>
      </c>
      <c r="BE85">
        <f>Koordinaten!$D$5+BC85</f>
        <v>686.06096654409885</v>
      </c>
      <c r="BF85">
        <f>Koordinaten!$D$6+BD85</f>
        <v>678.06096654409873</v>
      </c>
    </row>
    <row r="86" spans="3:58" x14ac:dyDescent="0.25">
      <c r="C86">
        <f t="shared" si="34"/>
        <v>1900</v>
      </c>
      <c r="D86" s="2">
        <v>4</v>
      </c>
      <c r="E86" s="2">
        <f t="shared" si="20"/>
        <v>1900</v>
      </c>
      <c r="F86" s="2">
        <v>1238</v>
      </c>
      <c r="G86" s="2">
        <v>34.1</v>
      </c>
      <c r="H86" s="2">
        <v>12</v>
      </c>
      <c r="AD86" s="5">
        <f t="shared" si="31"/>
        <v>1236.5792729039995</v>
      </c>
      <c r="AE86" s="2">
        <v>1652.31</v>
      </c>
      <c r="AF86" s="2">
        <v>-0.430979</v>
      </c>
      <c r="AG86" s="2">
        <v>4.59345E-4</v>
      </c>
      <c r="AH86" s="2">
        <f t="shared" si="32"/>
        <v>-3.74758E-7</v>
      </c>
      <c r="AI86" s="2">
        <v>1.3826799999999999E-10</v>
      </c>
      <c r="AJ86" s="2">
        <f t="shared" si="33"/>
        <v>-1.9650400000000001E-14</v>
      </c>
      <c r="BB86">
        <f t="shared" si="28"/>
        <v>46</v>
      </c>
      <c r="BC86">
        <f t="shared" si="26"/>
        <v>201.4509274331092</v>
      </c>
      <c r="BD86">
        <f t="shared" si="27"/>
        <v>208.6085420982088</v>
      </c>
      <c r="BE86">
        <f>Koordinaten!$D$5+BC86</f>
        <v>682.4509274331092</v>
      </c>
      <c r="BF86">
        <f>Koordinaten!$D$6+BD86</f>
        <v>681.60854209820877</v>
      </c>
    </row>
    <row r="87" spans="3:58" x14ac:dyDescent="0.25">
      <c r="C87">
        <f t="shared" si="34"/>
        <v>2000</v>
      </c>
      <c r="D87" s="2">
        <v>4</v>
      </c>
      <c r="E87" s="2">
        <f t="shared" si="20"/>
        <v>2000</v>
      </c>
      <c r="F87" s="2">
        <v>1214</v>
      </c>
      <c r="G87" s="2">
        <v>33.799999999999997</v>
      </c>
      <c r="H87" s="2">
        <v>12</v>
      </c>
      <c r="AD87" s="5">
        <f t="shared" si="31"/>
        <v>1213.1432</v>
      </c>
      <c r="AE87" s="2">
        <v>1652.31</v>
      </c>
      <c r="AF87" s="2">
        <v>-0.430979</v>
      </c>
      <c r="AG87" s="2">
        <v>4.59345E-4</v>
      </c>
      <c r="AH87" s="2">
        <f t="shared" si="32"/>
        <v>-3.74758E-7</v>
      </c>
      <c r="AI87" s="2">
        <v>1.3826799999999999E-10</v>
      </c>
      <c r="AJ87" s="2">
        <f t="shared" si="33"/>
        <v>-1.9650400000000001E-14</v>
      </c>
      <c r="BB87">
        <f t="shared" si="28"/>
        <v>47</v>
      </c>
      <c r="BC87">
        <f t="shared" si="26"/>
        <v>197.77952441812457</v>
      </c>
      <c r="BD87">
        <f t="shared" si="27"/>
        <v>212.09257346955943</v>
      </c>
      <c r="BE87">
        <f>Koordinaten!$D$5+BC87</f>
        <v>678.77952441812454</v>
      </c>
      <c r="BF87">
        <f>Koordinaten!$D$6+BD87</f>
        <v>685.0925734695594</v>
      </c>
    </row>
    <row r="88" spans="3:58" x14ac:dyDescent="0.25">
      <c r="C88">
        <f t="shared" si="34"/>
        <v>2100</v>
      </c>
      <c r="D88" s="2">
        <v>4</v>
      </c>
      <c r="E88" s="2">
        <f t="shared" si="20"/>
        <v>2100</v>
      </c>
      <c r="F88" s="2">
        <v>1188</v>
      </c>
      <c r="G88" s="2">
        <v>33.5</v>
      </c>
      <c r="H88" s="2">
        <v>13</v>
      </c>
      <c r="AD88" s="5">
        <f t="shared" si="31"/>
        <v>1188.8394198959995</v>
      </c>
      <c r="AE88" s="2">
        <v>1652.31</v>
      </c>
      <c r="AF88" s="2">
        <v>-0.430979</v>
      </c>
      <c r="AG88" s="2">
        <v>4.59345E-4</v>
      </c>
      <c r="AH88" s="2">
        <f t="shared" si="32"/>
        <v>-3.74758E-7</v>
      </c>
      <c r="AI88" s="2">
        <v>1.3826799999999999E-10</v>
      </c>
      <c r="AJ88" s="2">
        <f t="shared" si="33"/>
        <v>-1.9650400000000001E-14</v>
      </c>
      <c r="BB88">
        <f t="shared" si="28"/>
        <v>48</v>
      </c>
      <c r="BC88">
        <f t="shared" si="26"/>
        <v>194.0478758440689</v>
      </c>
      <c r="BD88">
        <f t="shared" si="27"/>
        <v>215.51199938844434</v>
      </c>
      <c r="BE88">
        <f>Koordinaten!$D$5+BC88</f>
        <v>675.04787584406893</v>
      </c>
      <c r="BF88">
        <f>Koordinaten!$D$6+BD88</f>
        <v>688.51199938844434</v>
      </c>
    </row>
    <row r="89" spans="3:58" x14ac:dyDescent="0.25">
      <c r="C89">
        <f t="shared" si="34"/>
        <v>2200</v>
      </c>
      <c r="D89" s="2">
        <v>4</v>
      </c>
      <c r="E89" s="2">
        <f t="shared" si="20"/>
        <v>2200</v>
      </c>
      <c r="F89" s="2">
        <v>1162</v>
      </c>
      <c r="G89" s="2">
        <v>33.1</v>
      </c>
      <c r="H89" s="2">
        <v>14</v>
      </c>
      <c r="AD89" s="5">
        <f t="shared" si="31"/>
        <v>1163.2643742719993</v>
      </c>
      <c r="AE89" s="2">
        <v>1652.31</v>
      </c>
      <c r="AF89" s="2">
        <v>-0.430979</v>
      </c>
      <c r="AG89" s="2">
        <v>4.59345E-4</v>
      </c>
      <c r="AH89" s="2">
        <f t="shared" si="32"/>
        <v>-3.74758E-7</v>
      </c>
      <c r="AI89" s="2">
        <v>1.3826799999999999E-10</v>
      </c>
      <c r="AJ89" s="2">
        <f t="shared" si="33"/>
        <v>-1.9650400000000001E-14</v>
      </c>
      <c r="BB89">
        <f t="shared" si="28"/>
        <v>49</v>
      </c>
      <c r="BC89">
        <f t="shared" si="26"/>
        <v>190.25711840724711</v>
      </c>
      <c r="BD89">
        <f t="shared" si="27"/>
        <v>218.86577826460388</v>
      </c>
      <c r="BE89">
        <f>Koordinaten!$D$5+BC89</f>
        <v>671.25711840724716</v>
      </c>
      <c r="BF89">
        <f>Koordinaten!$D$6+BD89</f>
        <v>691.86577826460393</v>
      </c>
    </row>
    <row r="90" spans="3:58" x14ac:dyDescent="0.25">
      <c r="C90">
        <f t="shared" si="34"/>
        <v>2300</v>
      </c>
      <c r="D90" s="2">
        <v>4</v>
      </c>
      <c r="E90" s="2">
        <f t="shared" si="20"/>
        <v>2300</v>
      </c>
      <c r="F90" s="2">
        <v>1134</v>
      </c>
      <c r="G90" s="2">
        <v>32.700000000000003</v>
      </c>
      <c r="H90" s="2">
        <v>15</v>
      </c>
      <c r="AD90" s="5">
        <f t="shared" si="31"/>
        <v>1135.8511579279996</v>
      </c>
      <c r="AE90" s="2">
        <v>1652.31</v>
      </c>
      <c r="AF90" s="2">
        <v>-0.430979</v>
      </c>
      <c r="AG90" s="2">
        <v>4.59345E-4</v>
      </c>
      <c r="AH90" s="2">
        <f t="shared" si="32"/>
        <v>-3.74758E-7</v>
      </c>
      <c r="AI90" s="2">
        <v>1.3826799999999999E-10</v>
      </c>
      <c r="AJ90" s="2">
        <f t="shared" si="33"/>
        <v>-1.9650400000000001E-14</v>
      </c>
      <c r="BB90">
        <f t="shared" si="28"/>
        <v>50</v>
      </c>
      <c r="BC90">
        <f t="shared" si="26"/>
        <v>186.40840680909642</v>
      </c>
      <c r="BD90">
        <f t="shared" si="27"/>
        <v>222.15288850450364</v>
      </c>
      <c r="BE90">
        <f>Koordinaten!$D$5+BC90</f>
        <v>667.40840680909639</v>
      </c>
      <c r="BF90">
        <f>Koordinaten!$D$6+BD90</f>
        <v>695.15288850450361</v>
      </c>
    </row>
    <row r="91" spans="3:58" x14ac:dyDescent="0.25">
      <c r="C91">
        <f t="shared" si="34"/>
        <v>2400</v>
      </c>
      <c r="D91" s="2">
        <v>4</v>
      </c>
      <c r="E91" s="2">
        <f t="shared" si="20"/>
        <v>2400</v>
      </c>
      <c r="F91" s="2">
        <v>1104</v>
      </c>
      <c r="G91" s="2">
        <v>32.200000000000003</v>
      </c>
      <c r="H91" s="2">
        <v>17</v>
      </c>
      <c r="AD91" s="5">
        <f t="shared" si="31"/>
        <v>1105.8459383039999</v>
      </c>
      <c r="AE91" s="2">
        <v>1652.31</v>
      </c>
      <c r="AF91" s="2">
        <v>-0.430979</v>
      </c>
      <c r="AG91" s="2">
        <v>4.59345E-4</v>
      </c>
      <c r="AH91" s="2">
        <f t="shared" si="32"/>
        <v>-3.74758E-7</v>
      </c>
      <c r="AI91" s="2">
        <v>1.3826799999999999E-10</v>
      </c>
      <c r="AJ91" s="2">
        <f t="shared" si="33"/>
        <v>-1.9650400000000001E-14</v>
      </c>
      <c r="BB91">
        <f t="shared" si="28"/>
        <v>51</v>
      </c>
      <c r="BC91">
        <f t="shared" si="26"/>
        <v>182.50291340445287</v>
      </c>
      <c r="BD91">
        <f t="shared" si="27"/>
        <v>225.37232882252155</v>
      </c>
      <c r="BE91">
        <f>Koordinaten!$D$5+BC91</f>
        <v>663.5029134044529</v>
      </c>
      <c r="BF91">
        <f>Koordinaten!$D$6+BD91</f>
        <v>698.37232882252158</v>
      </c>
    </row>
    <row r="92" spans="3:58" x14ac:dyDescent="0.25">
      <c r="C92">
        <f t="shared" si="34"/>
        <v>2500</v>
      </c>
      <c r="D92" s="2">
        <v>4</v>
      </c>
      <c r="E92" s="2">
        <f t="shared" ref="E92:E96" si="35">E91+100</f>
        <v>2500</v>
      </c>
      <c r="F92" s="2">
        <v>1070</v>
      </c>
      <c r="G92" s="2">
        <v>31.7</v>
      </c>
      <c r="H92" s="2">
        <v>17</v>
      </c>
      <c r="AD92" s="5">
        <f t="shared" si="31"/>
        <v>1072.284374999999</v>
      </c>
      <c r="AE92" s="2">
        <v>1652.31</v>
      </c>
      <c r="AF92" s="2">
        <v>-0.430979</v>
      </c>
      <c r="AG92" s="2">
        <v>4.59345E-4</v>
      </c>
      <c r="AH92" s="2">
        <f t="shared" si="32"/>
        <v>-3.74758E-7</v>
      </c>
      <c r="AI92" s="2">
        <v>1.3826799999999999E-10</v>
      </c>
      <c r="AJ92" s="2">
        <f t="shared" si="33"/>
        <v>-1.9650400000000001E-14</v>
      </c>
      <c r="BB92">
        <f t="shared" si="28"/>
        <v>52</v>
      </c>
      <c r="BC92">
        <f t="shared" si="26"/>
        <v>178.54182784444092</v>
      </c>
      <c r="BD92">
        <f t="shared" si="27"/>
        <v>228.52311854594939</v>
      </c>
      <c r="BE92">
        <f>Koordinaten!$D$5+BC92</f>
        <v>659.54182784444095</v>
      </c>
      <c r="BF92">
        <f>Koordinaten!$D$6+BD92</f>
        <v>701.52311854594939</v>
      </c>
    </row>
    <row r="93" spans="3:58" x14ac:dyDescent="0.25">
      <c r="C93">
        <f t="shared" si="34"/>
        <v>2600</v>
      </c>
      <c r="D93" s="2">
        <v>4</v>
      </c>
      <c r="E93" s="2">
        <f t="shared" si="35"/>
        <v>2600</v>
      </c>
      <c r="F93" s="2">
        <v>1034</v>
      </c>
      <c r="G93" s="2">
        <v>31</v>
      </c>
      <c r="H93" s="2">
        <v>20</v>
      </c>
      <c r="AD93" s="5">
        <f t="shared" si="31"/>
        <v>1033.968039295999</v>
      </c>
      <c r="AE93" s="2">
        <v>1652.31</v>
      </c>
      <c r="AF93" s="2">
        <v>-0.430979</v>
      </c>
      <c r="AG93" s="2">
        <v>4.59345E-4</v>
      </c>
      <c r="AH93" s="2">
        <f t="shared" si="32"/>
        <v>-3.74758E-7</v>
      </c>
      <c r="AI93" s="2">
        <v>1.3826799999999999E-10</v>
      </c>
      <c r="AJ93" s="2">
        <f t="shared" si="33"/>
        <v>-1.9650400000000001E-14</v>
      </c>
      <c r="BB93">
        <f t="shared" si="28"/>
        <v>53</v>
      </c>
      <c r="BC93">
        <f t="shared" si="26"/>
        <v>174.52635671409402</v>
      </c>
      <c r="BD93">
        <f t="shared" si="27"/>
        <v>231.60429791371493</v>
      </c>
      <c r="BE93">
        <f>Koordinaten!$D$5+BC93</f>
        <v>655.52635671409405</v>
      </c>
      <c r="BF93">
        <f>Koordinaten!$D$6+BD93</f>
        <v>704.60429791371496</v>
      </c>
    </row>
    <row r="94" spans="3:58" x14ac:dyDescent="0.25">
      <c r="C94">
        <f t="shared" si="34"/>
        <v>2700</v>
      </c>
      <c r="D94" s="2">
        <v>4</v>
      </c>
      <c r="E94" s="2">
        <f t="shared" si="35"/>
        <v>2700</v>
      </c>
      <c r="F94" s="2">
        <v>993</v>
      </c>
      <c r="G94" s="2">
        <v>30.3</v>
      </c>
      <c r="H94" s="2">
        <v>25</v>
      </c>
      <c r="AD94" s="5">
        <f t="shared" si="31"/>
        <v>989.4408336719996</v>
      </c>
      <c r="AE94" s="2">
        <v>1652.31</v>
      </c>
      <c r="AF94" s="2">
        <v>-0.430979</v>
      </c>
      <c r="AG94" s="2">
        <v>4.59345E-4</v>
      </c>
      <c r="AH94" s="2">
        <f t="shared" si="32"/>
        <v>-3.74758E-7</v>
      </c>
      <c r="AI94" s="2">
        <v>1.3826799999999999E-10</v>
      </c>
      <c r="AJ94" s="2">
        <f t="shared" si="33"/>
        <v>-1.9650400000000001E-14</v>
      </c>
      <c r="BB94">
        <f t="shared" si="28"/>
        <v>54</v>
      </c>
      <c r="BC94">
        <f t="shared" si="26"/>
        <v>170.4577231648172</v>
      </c>
      <c r="BD94">
        <f t="shared" si="27"/>
        <v>234.61492836873475</v>
      </c>
      <c r="BE94">
        <f>Koordinaten!$D$5+BC94</f>
        <v>651.45772316481725</v>
      </c>
      <c r="BF94">
        <f>Koordinaten!$D$6+BD94</f>
        <v>707.61492836873481</v>
      </c>
    </row>
    <row r="95" spans="3:58" x14ac:dyDescent="0.25">
      <c r="C95">
        <f t="shared" si="34"/>
        <v>2800</v>
      </c>
      <c r="D95" s="2">
        <v>4</v>
      </c>
      <c r="E95" s="2">
        <f t="shared" si="35"/>
        <v>2800</v>
      </c>
      <c r="F95" s="2">
        <v>942</v>
      </c>
      <c r="G95" s="2">
        <v>29.2</v>
      </c>
      <c r="H95" s="2">
        <v>31</v>
      </c>
      <c r="AD95" s="5">
        <f t="shared" si="31"/>
        <v>936.96541132799939</v>
      </c>
      <c r="AE95" s="2">
        <v>1652.31</v>
      </c>
      <c r="AF95" s="2">
        <v>-0.430979</v>
      </c>
      <c r="AG95" s="2">
        <v>4.59345E-4</v>
      </c>
      <c r="AH95" s="2">
        <f t="shared" si="32"/>
        <v>-3.74758E-7</v>
      </c>
      <c r="AI95" s="2">
        <v>1.3826799999999999E-10</v>
      </c>
      <c r="AJ95" s="2">
        <f t="shared" si="33"/>
        <v>-1.9650400000000001E-14</v>
      </c>
      <c r="BB95">
        <f t="shared" si="28"/>
        <v>55</v>
      </c>
      <c r="BC95">
        <f t="shared" si="26"/>
        <v>166.33716654180338</v>
      </c>
      <c r="BD95">
        <f t="shared" si="27"/>
        <v>237.55409284380761</v>
      </c>
      <c r="BE95">
        <f>Koordinaten!$D$5+BC95</f>
        <v>647.33716654180341</v>
      </c>
      <c r="BF95">
        <f>Koordinaten!$D$6+BD95</f>
        <v>710.55409284380767</v>
      </c>
    </row>
    <row r="96" spans="3:58" x14ac:dyDescent="0.25">
      <c r="C96">
        <f t="shared" si="34"/>
        <v>2900</v>
      </c>
      <c r="D96" s="2">
        <v>4</v>
      </c>
      <c r="E96" s="2">
        <f t="shared" si="35"/>
        <v>2900</v>
      </c>
      <c r="F96" s="2">
        <v>870</v>
      </c>
      <c r="G96" s="2">
        <v>27.7</v>
      </c>
      <c r="H96" s="2">
        <v>34</v>
      </c>
      <c r="AD96" s="5">
        <f t="shared" si="31"/>
        <v>874.49959570399892</v>
      </c>
      <c r="AE96" s="2">
        <v>1652.31</v>
      </c>
      <c r="AF96" s="2">
        <v>-0.430979</v>
      </c>
      <c r="AG96" s="2">
        <v>4.59345E-4</v>
      </c>
      <c r="AH96" s="2">
        <f t="shared" si="32"/>
        <v>-3.74758E-7</v>
      </c>
      <c r="AI96" s="2">
        <v>1.3826799999999999E-10</v>
      </c>
      <c r="AJ96" s="2">
        <f t="shared" si="33"/>
        <v>-1.9650400000000001E-14</v>
      </c>
      <c r="BB96">
        <f t="shared" si="28"/>
        <v>56</v>
      </c>
      <c r="BC96">
        <f t="shared" si="26"/>
        <v>162.16594200651656</v>
      </c>
      <c r="BD96">
        <f t="shared" si="27"/>
        <v>240.42089604096211</v>
      </c>
      <c r="BE96">
        <f>Koordinaten!$D$5+BC96</f>
        <v>643.16594200651662</v>
      </c>
      <c r="BF96">
        <f>Koordinaten!$D$6+BD96</f>
        <v>713.42089604096213</v>
      </c>
    </row>
    <row r="97" spans="54:58" x14ac:dyDescent="0.25">
      <c r="BB97">
        <f t="shared" si="28"/>
        <v>57</v>
      </c>
      <c r="BC97">
        <f t="shared" si="26"/>
        <v>157.94532015435786</v>
      </c>
      <c r="BD97">
        <f t="shared" si="27"/>
        <v>243.21446470417297</v>
      </c>
      <c r="BE97">
        <f>Koordinaten!$D$5+BC97</f>
        <v>638.94532015435789</v>
      </c>
      <c r="BF97">
        <f>Koordinaten!$D$6+BD97</f>
        <v>716.214464704173</v>
      </c>
    </row>
    <row r="98" spans="54:58" x14ac:dyDescent="0.25">
      <c r="BB98">
        <f t="shared" si="28"/>
        <v>58</v>
      </c>
      <c r="BC98">
        <f t="shared" si="26"/>
        <v>153.67658662762943</v>
      </c>
      <c r="BD98">
        <f t="shared" si="27"/>
        <v>245.93394788536352</v>
      </c>
      <c r="BE98">
        <f>Koordinaten!$D$5+BC98</f>
        <v>634.67658662762938</v>
      </c>
      <c r="BF98">
        <f>Koordinaten!$D$6+BD98</f>
        <v>718.93394788536352</v>
      </c>
    </row>
    <row r="99" spans="54:58" x14ac:dyDescent="0.25">
      <c r="BB99">
        <f t="shared" si="28"/>
        <v>59</v>
      </c>
      <c r="BC99">
        <f t="shared" si="26"/>
        <v>149.36104172391572</v>
      </c>
      <c r="BD99">
        <f t="shared" si="27"/>
        <v>248.57851720361256</v>
      </c>
      <c r="BE99">
        <f>Koordinaten!$D$5+BC99</f>
        <v>630.36104172391572</v>
      </c>
      <c r="BF99">
        <f>Koordinaten!$D$6+BD99</f>
        <v>721.57851720361259</v>
      </c>
    </row>
    <row r="100" spans="54:58" x14ac:dyDescent="0.25">
      <c r="BB100">
        <f t="shared" si="28"/>
        <v>60</v>
      </c>
      <c r="BC100">
        <f t="shared" si="26"/>
        <v>145.00000000000003</v>
      </c>
      <c r="BD100">
        <f t="shared" si="27"/>
        <v>251.14736709748721</v>
      </c>
      <c r="BE100">
        <f>Koordinaten!$D$5+BC100</f>
        <v>626</v>
      </c>
      <c r="BF100">
        <f>Koordinaten!$D$6+BD100</f>
        <v>724.14736709748718</v>
      </c>
    </row>
    <row r="101" spans="54:58" x14ac:dyDescent="0.25">
      <c r="BB101">
        <f t="shared" si="28"/>
        <v>61</v>
      </c>
      <c r="BC101">
        <f t="shared" si="26"/>
        <v>140.59478987143777</v>
      </c>
      <c r="BD101">
        <f t="shared" si="27"/>
        <v>253.63971507042476</v>
      </c>
      <c r="BE101">
        <f>Koordinaten!$D$5+BC101</f>
        <v>621.5947898714378</v>
      </c>
      <c r="BF101">
        <f>Koordinaten!$D$6+BD101</f>
        <v>726.6397150704247</v>
      </c>
    </row>
    <row r="102" spans="54:58" x14ac:dyDescent="0.25">
      <c r="BB102">
        <f t="shared" si="28"/>
        <v>62</v>
      </c>
      <c r="BC102">
        <f t="shared" si="26"/>
        <v>136.14675320790835</v>
      </c>
      <c r="BD102">
        <f t="shared" si="27"/>
        <v>256.0548019290888</v>
      </c>
      <c r="BE102">
        <f>Koordinaten!$D$5+BC102</f>
        <v>617.14675320790832</v>
      </c>
      <c r="BF102">
        <f>Koordinaten!$D$6+BD102</f>
        <v>729.05480192908885</v>
      </c>
    </row>
    <row r="103" spans="54:58" x14ac:dyDescent="0.25">
      <c r="BB103">
        <f t="shared" si="28"/>
        <v>63</v>
      </c>
      <c r="BC103">
        <f t="shared" si="26"/>
        <v>131.65724492446859</v>
      </c>
      <c r="BD103">
        <f t="shared" si="27"/>
        <v>258.39189201462665</v>
      </c>
      <c r="BE103">
        <f>Koordinaten!$D$5+BC103</f>
        <v>612.65724492446861</v>
      </c>
      <c r="BF103">
        <f>Koordinaten!$D$6+BD103</f>
        <v>731.39189201462659</v>
      </c>
    </row>
    <row r="104" spans="54:58" x14ac:dyDescent="0.25">
      <c r="BB104">
        <f t="shared" si="28"/>
        <v>64</v>
      </c>
      <c r="BC104">
        <f t="shared" si="26"/>
        <v>127.12763256883247</v>
      </c>
      <c r="BD104">
        <f t="shared" si="27"/>
        <v>260.65027342675842</v>
      </c>
      <c r="BE104">
        <f>Koordinaten!$D$5+BC104</f>
        <v>608.1276325688325</v>
      </c>
      <c r="BF104">
        <f>Koordinaten!$D$6+BD104</f>
        <v>733.65027342675842</v>
      </c>
    </row>
    <row r="105" spans="54:58" x14ac:dyDescent="0.25">
      <c r="BB105">
        <f t="shared" si="28"/>
        <v>65</v>
      </c>
      <c r="BC105">
        <f t="shared" si="26"/>
        <v>122.55929590480284</v>
      </c>
      <c r="BD105">
        <f t="shared" si="27"/>
        <v>262.82925824062846</v>
      </c>
      <c r="BE105">
        <f>Koordinaten!$D$5+BC105</f>
        <v>603.55929590480287</v>
      </c>
      <c r="BF105">
        <f>Koordinaten!$D$6+BD105</f>
        <v>735.82925824062841</v>
      </c>
    </row>
    <row r="106" spans="54:58" x14ac:dyDescent="0.25">
      <c r="BB106">
        <f t="shared" si="28"/>
        <v>66</v>
      </c>
      <c r="BC106">
        <f t="shared" ref="BC106:BC169" si="36">$AT$39/10*COS(PI()/360*BB106*2)</f>
        <v>117.95362649198206</v>
      </c>
      <c r="BD106">
        <f t="shared" ref="BD106:BD169" si="37">$AT$39/10*SIN(PI()/360*BB106*2)</f>
        <v>264.92818271635423</v>
      </c>
      <c r="BE106">
        <f>Koordinaten!$D$5+BC106</f>
        <v>598.95362649198205</v>
      </c>
      <c r="BF106">
        <f>Koordinaten!$D$6+BD106</f>
        <v>737.92818271635429</v>
      </c>
    </row>
    <row r="107" spans="54:58" x14ac:dyDescent="0.25">
      <c r="BB107">
        <f t="shared" ref="BB107:BB170" si="38">BB106+1</f>
        <v>67</v>
      </c>
      <c r="BC107">
        <f t="shared" si="36"/>
        <v>113.31202726188938</v>
      </c>
      <c r="BD107">
        <f t="shared" si="37"/>
        <v>266.94640750120772</v>
      </c>
      <c r="BE107">
        <f>Koordinaten!$D$5+BC107</f>
        <v>594.3120272618894</v>
      </c>
      <c r="BF107">
        <f>Koordinaten!$D$6+BD107</f>
        <v>739.94640750120766</v>
      </c>
    </row>
    <row r="108" spans="54:58" x14ac:dyDescent="0.25">
      <c r="BB108">
        <f t="shared" si="38"/>
        <v>68</v>
      </c>
      <c r="BC108">
        <f t="shared" si="36"/>
        <v>108.63591209061447</v>
      </c>
      <c r="BD108">
        <f t="shared" si="37"/>
        <v>268.88331782436836</v>
      </c>
      <c r="BE108">
        <f>Koordinaten!$D$5+BC108</f>
        <v>589.63591209061451</v>
      </c>
      <c r="BF108">
        <f>Koordinaten!$D$6+BD108</f>
        <v>741.88331782436831</v>
      </c>
    </row>
    <row r="109" spans="54:58" x14ac:dyDescent="0.25">
      <c r="BB109">
        <f t="shared" si="38"/>
        <v>69</v>
      </c>
      <c r="BC109">
        <f t="shared" si="36"/>
        <v>103.92670536813711</v>
      </c>
      <c r="BD109">
        <f t="shared" si="37"/>
        <v>270.73832368418852</v>
      </c>
      <c r="BE109">
        <f>Koordinaten!$D$5+BC109</f>
        <v>584.92670536813716</v>
      </c>
      <c r="BF109">
        <f>Koordinaten!$D$6+BD109</f>
        <v>743.73832368418857</v>
      </c>
    </row>
    <row r="110" spans="54:58" x14ac:dyDescent="0.25">
      <c r="BB110">
        <f t="shared" si="38"/>
        <v>70</v>
      </c>
      <c r="BC110">
        <f t="shared" si="36"/>
        <v>99.185841564443962</v>
      </c>
      <c r="BD110">
        <f t="shared" si="37"/>
        <v>272.5108600279134</v>
      </c>
      <c r="BE110">
        <f>Koordinaten!$D$5+BC110</f>
        <v>580.18584156444399</v>
      </c>
      <c r="BF110">
        <f>Koordinaten!$D$6+BD110</f>
        <v>745.5108600279134</v>
      </c>
    </row>
    <row r="111" spans="54:58" x14ac:dyDescent="0.25">
      <c r="BB111">
        <f t="shared" si="38"/>
        <v>71</v>
      </c>
      <c r="BC111">
        <f t="shared" si="36"/>
        <v>94.414764792575454</v>
      </c>
      <c r="BD111">
        <f t="shared" si="37"/>
        <v>274.20038692380183</v>
      </c>
      <c r="BE111">
        <f>Koordinaten!$D$5+BC111</f>
        <v>575.4147647925754</v>
      </c>
      <c r="BF111">
        <f>Koordinaten!$D$6+BD111</f>
        <v>747.20038692380183</v>
      </c>
    </row>
    <row r="112" spans="54:58" x14ac:dyDescent="0.25">
      <c r="BB112">
        <f t="shared" si="38"/>
        <v>72</v>
      </c>
      <c r="BC112">
        <f t="shared" si="36"/>
        <v>89.614928368734766</v>
      </c>
      <c r="BD112">
        <f t="shared" si="37"/>
        <v>275.8063897255945</v>
      </c>
      <c r="BE112">
        <f>Koordinaten!$D$5+BC112</f>
        <v>570.61492836873481</v>
      </c>
      <c r="BF112">
        <f>Koordinaten!$D$6+BD112</f>
        <v>748.8063897255945</v>
      </c>
    </row>
    <row r="113" spans="54:58" x14ac:dyDescent="0.25">
      <c r="BB113">
        <f t="shared" si="38"/>
        <v>73</v>
      </c>
      <c r="BC113">
        <f t="shared" si="36"/>
        <v>84.787794369593669</v>
      </c>
      <c r="BD113">
        <f t="shared" si="37"/>
        <v>277.3283792292803</v>
      </c>
      <c r="BE113">
        <f>Koordinaten!$D$5+BC113</f>
        <v>565.78779436959371</v>
      </c>
      <c r="BF113">
        <f>Koordinaten!$D$6+BD113</f>
        <v>750.32837922928024</v>
      </c>
    </row>
    <row r="114" spans="54:58" x14ac:dyDescent="0.25">
      <c r="BB114">
        <f t="shared" si="38"/>
        <v>74</v>
      </c>
      <c r="BC114">
        <f t="shared" si="36"/>
        <v>79.934833186929751</v>
      </c>
      <c r="BD114">
        <f t="shared" si="37"/>
        <v>278.76589182211251</v>
      </c>
      <c r="BE114">
        <f>Koordinaten!$D$5+BC114</f>
        <v>560.93483318692972</v>
      </c>
      <c r="BF114">
        <f>Koordinaten!$D$6+BD114</f>
        <v>751.76589182211251</v>
      </c>
    </row>
    <row r="115" spans="54:58" x14ac:dyDescent="0.25">
      <c r="BB115">
        <f t="shared" si="38"/>
        <v>75</v>
      </c>
      <c r="BC115">
        <f t="shared" si="36"/>
        <v>75.057523079731013</v>
      </c>
      <c r="BD115">
        <f t="shared" si="37"/>
        <v>280.11848962382982</v>
      </c>
      <c r="BE115">
        <f>Koordinaten!$D$5+BC115</f>
        <v>556.05752307973103</v>
      </c>
      <c r="BF115">
        <f>Koordinaten!$D$6+BD115</f>
        <v>753.11848962382987</v>
      </c>
    </row>
    <row r="116" spans="54:58" x14ac:dyDescent="0.25">
      <c r="BB116">
        <f t="shared" si="38"/>
        <v>76</v>
      </c>
      <c r="BC116">
        <f t="shared" si="36"/>
        <v>70.157349723903621</v>
      </c>
      <c r="BD116">
        <f t="shared" si="37"/>
        <v>281.38576062003898</v>
      </c>
      <c r="BE116">
        <f>Koordinaten!$D$5+BC116</f>
        <v>551.15734972390362</v>
      </c>
      <c r="BF116">
        <f>Koordinaten!$D$6+BD116</f>
        <v>754.38576062003904</v>
      </c>
    </row>
    <row r="117" spans="54:58" x14ac:dyDescent="0.25">
      <c r="BB117">
        <f t="shared" si="38"/>
        <v>77</v>
      </c>
      <c r="BC117">
        <f t="shared" si="36"/>
        <v>65.235805759720833</v>
      </c>
      <c r="BD117">
        <f t="shared" si="37"/>
        <v>282.56731878771819</v>
      </c>
      <c r="BE117">
        <f>Koordinaten!$D$5+BC117</f>
        <v>546.23580575972085</v>
      </c>
      <c r="BF117">
        <f>Koordinaten!$D$6+BD117</f>
        <v>755.56731878771825</v>
      </c>
    </row>
    <row r="118" spans="54:58" x14ac:dyDescent="0.25">
      <c r="BB118">
        <f t="shared" si="38"/>
        <v>78</v>
      </c>
      <c r="BC118">
        <f t="shared" si="36"/>
        <v>60.29439033715024</v>
      </c>
      <c r="BD118">
        <f t="shared" si="37"/>
        <v>283.66280421280362</v>
      </c>
      <c r="BE118">
        <f>Koordinaten!$D$5+BC118</f>
        <v>541.29439033715028</v>
      </c>
      <c r="BF118">
        <f>Koordinaten!$D$6+BD118</f>
        <v>756.66280421280362</v>
      </c>
    </row>
    <row r="119" spans="54:58" x14ac:dyDescent="0.25">
      <c r="BB119">
        <f t="shared" si="38"/>
        <v>79</v>
      </c>
      <c r="BC119">
        <f t="shared" si="36"/>
        <v>55.334608659198025</v>
      </c>
      <c r="BD119">
        <f t="shared" si="37"/>
        <v>284.67188319982256</v>
      </c>
      <c r="BE119">
        <f>Koordinaten!$D$5+BC119</f>
        <v>536.33460865919801</v>
      </c>
      <c r="BF119">
        <f>Koordinaten!$D$6+BD119</f>
        <v>757.67188319982256</v>
      </c>
    </row>
    <row r="120" spans="54:58" x14ac:dyDescent="0.25">
      <c r="BB120">
        <f t="shared" si="38"/>
        <v>80</v>
      </c>
      <c r="BC120">
        <f t="shared" si="36"/>
        <v>50.357971523409823</v>
      </c>
      <c r="BD120">
        <f t="shared" si="37"/>
        <v>285.59424837354032</v>
      </c>
      <c r="BE120">
        <f>Koordinaten!$D$5+BC120</f>
        <v>531.35797152340979</v>
      </c>
      <c r="BF120">
        <f>Koordinaten!$D$6+BD120</f>
        <v>758.59424837354027</v>
      </c>
    </row>
    <row r="121" spans="54:58" x14ac:dyDescent="0.25">
      <c r="BB121">
        <f t="shared" si="38"/>
        <v>81</v>
      </c>
      <c r="BC121">
        <f t="shared" si="36"/>
        <v>45.365994861666969</v>
      </c>
      <c r="BD121">
        <f t="shared" si="37"/>
        <v>286.42961877258995</v>
      </c>
      <c r="BE121">
        <f>Koordinaten!$D$5+BC121</f>
        <v>526.36599486166699</v>
      </c>
      <c r="BF121">
        <f>Koordinaten!$D$6+BD121</f>
        <v>759.42961877258995</v>
      </c>
    </row>
    <row r="122" spans="54:58" x14ac:dyDescent="0.25">
      <c r="BB122">
        <f t="shared" si="38"/>
        <v>82</v>
      </c>
      <c r="BC122">
        <f t="shared" si="36"/>
        <v>40.360199278418982</v>
      </c>
      <c r="BD122">
        <f t="shared" si="37"/>
        <v>287.1777399350554</v>
      </c>
      <c r="BE122">
        <f>Koordinaten!$D$5+BC122</f>
        <v>521.36019927841903</v>
      </c>
      <c r="BF122">
        <f>Koordinaten!$D$6+BD122</f>
        <v>760.17773993505534</v>
      </c>
    </row>
    <row r="123" spans="54:58" x14ac:dyDescent="0.25">
      <c r="BB123">
        <f t="shared" si="38"/>
        <v>83</v>
      </c>
      <c r="BC123">
        <f t="shared" si="36"/>
        <v>35.342109587492772</v>
      </c>
      <c r="BD123">
        <f t="shared" si="37"/>
        <v>287.83838397598339</v>
      </c>
      <c r="BE123">
        <f>Koordinaten!$D$5+BC123</f>
        <v>516.34210958749281</v>
      </c>
      <c r="BF123">
        <f>Koordinaten!$D$6+BD123</f>
        <v>760.83838397598333</v>
      </c>
    </row>
    <row r="124" spans="54:58" x14ac:dyDescent="0.25">
      <c r="BB124">
        <f t="shared" si="38"/>
        <v>84</v>
      </c>
      <c r="BC124">
        <f t="shared" si="36"/>
        <v>30.313254347619502</v>
      </c>
      <c r="BD124">
        <f t="shared" si="37"/>
        <v>288.41134965679925</v>
      </c>
      <c r="BE124">
        <f>Koordinaten!$D$5+BC124</f>
        <v>511.31325434761948</v>
      </c>
      <c r="BF124">
        <f>Koordinaten!$D$6+BD124</f>
        <v>761.4113496567993</v>
      </c>
    </row>
    <row r="125" spans="54:58" x14ac:dyDescent="0.25">
      <c r="BB125">
        <f t="shared" si="38"/>
        <v>85</v>
      </c>
      <c r="BC125">
        <f t="shared" si="36"/>
        <v>25.27516539682086</v>
      </c>
      <c r="BD125">
        <f t="shared" si="37"/>
        <v>288.89646244660622</v>
      </c>
      <c r="BE125">
        <f>Koordinaten!$D$5+BC125</f>
        <v>506.27516539682085</v>
      </c>
      <c r="BF125">
        <f>Koordinaten!$D$6+BD125</f>
        <v>761.89646244660617</v>
      </c>
    </row>
    <row r="126" spans="54:58" x14ac:dyDescent="0.25">
      <c r="BB126">
        <f t="shared" si="38"/>
        <v>86</v>
      </c>
      <c r="BC126">
        <f t="shared" si="36"/>
        <v>20.229377385796319</v>
      </c>
      <c r="BD126">
        <f t="shared" si="37"/>
        <v>289.293574575349</v>
      </c>
      <c r="BE126">
        <f>Koordinaten!$D$5+BC126</f>
        <v>501.22937738579634</v>
      </c>
      <c r="BF126">
        <f>Koordinaten!$D$6+BD126</f>
        <v>762.293574575349</v>
      </c>
    </row>
    <row r="127" spans="54:58" x14ac:dyDescent="0.25">
      <c r="BB127">
        <f t="shared" si="38"/>
        <v>87</v>
      </c>
      <c r="BC127">
        <f t="shared" si="36"/>
        <v>15.17742731045375</v>
      </c>
      <c r="BD127">
        <f t="shared" si="37"/>
        <v>289.60256507882639</v>
      </c>
      <c r="BE127">
        <f>Koordinaten!$D$5+BC127</f>
        <v>496.17742731045377</v>
      </c>
      <c r="BF127">
        <f>Koordinaten!$D$6+BD127</f>
        <v>762.60256507882639</v>
      </c>
    </row>
    <row r="128" spans="54:58" x14ac:dyDescent="0.25">
      <c r="BB128">
        <f t="shared" si="38"/>
        <v>88</v>
      </c>
      <c r="BC128">
        <f t="shared" si="36"/>
        <v>10.120854043725313</v>
      </c>
      <c r="BD128">
        <f t="shared" si="37"/>
        <v>289.82333983553775</v>
      </c>
      <c r="BE128">
        <f>Koordinaten!$D$5+BC128</f>
        <v>491.12085404372533</v>
      </c>
      <c r="BF128">
        <f>Koordinaten!$D$6+BD128</f>
        <v>762.82333983553781</v>
      </c>
    </row>
    <row r="129" spans="54:58" x14ac:dyDescent="0.25">
      <c r="BB129">
        <f t="shared" si="38"/>
        <v>89</v>
      </c>
      <c r="BC129">
        <f t="shared" si="36"/>
        <v>5.0611978668122433</v>
      </c>
      <c r="BD129">
        <f t="shared" si="37"/>
        <v>289.95583159535346</v>
      </c>
      <c r="BE129">
        <f>Koordinaten!$D$5+BC129</f>
        <v>486.06119786681222</v>
      </c>
      <c r="BF129">
        <f>Koordinaten!$D$6+BD129</f>
        <v>762.9558315953534</v>
      </c>
    </row>
    <row r="130" spans="54:58" x14ac:dyDescent="0.25">
      <c r="BB130">
        <f t="shared" si="38"/>
        <v>90</v>
      </c>
      <c r="BC130">
        <f t="shared" si="36"/>
        <v>1.776465259617499E-14</v>
      </c>
      <c r="BD130">
        <f t="shared" si="37"/>
        <v>290</v>
      </c>
      <c r="BE130">
        <f>Koordinaten!$D$5+BC130</f>
        <v>481</v>
      </c>
      <c r="BF130">
        <f>Koordinaten!$D$6+BD130</f>
        <v>763</v>
      </c>
    </row>
    <row r="131" spans="54:58" x14ac:dyDescent="0.25">
      <c r="BB131">
        <f t="shared" si="38"/>
        <v>91</v>
      </c>
      <c r="BC131">
        <f t="shared" si="36"/>
        <v>-5.0611978668122086</v>
      </c>
      <c r="BD131">
        <f t="shared" si="37"/>
        <v>289.95583159535346</v>
      </c>
      <c r="BE131">
        <f>Koordinaten!$D$5+BC131</f>
        <v>475.93880213318778</v>
      </c>
      <c r="BF131">
        <f>Koordinaten!$D$6+BD131</f>
        <v>762.9558315953534</v>
      </c>
    </row>
    <row r="132" spans="54:58" x14ac:dyDescent="0.25">
      <c r="BB132">
        <f t="shared" si="38"/>
        <v>92</v>
      </c>
      <c r="BC132">
        <f t="shared" si="36"/>
        <v>-10.120854043725277</v>
      </c>
      <c r="BD132">
        <f t="shared" si="37"/>
        <v>289.82333983553775</v>
      </c>
      <c r="BE132">
        <f>Koordinaten!$D$5+BC132</f>
        <v>470.87914595627473</v>
      </c>
      <c r="BF132">
        <f>Koordinaten!$D$6+BD132</f>
        <v>762.82333983553781</v>
      </c>
    </row>
    <row r="133" spans="54:58" x14ac:dyDescent="0.25">
      <c r="BB133">
        <f t="shared" si="38"/>
        <v>93</v>
      </c>
      <c r="BC133">
        <f t="shared" si="36"/>
        <v>-15.177427310453714</v>
      </c>
      <c r="BD133">
        <f t="shared" si="37"/>
        <v>289.60256507882639</v>
      </c>
      <c r="BE133">
        <f>Koordinaten!$D$5+BC133</f>
        <v>465.82257268954629</v>
      </c>
      <c r="BF133">
        <f>Koordinaten!$D$6+BD133</f>
        <v>762.60256507882639</v>
      </c>
    </row>
    <row r="134" spans="54:58" x14ac:dyDescent="0.25">
      <c r="BB134">
        <f t="shared" si="38"/>
        <v>94</v>
      </c>
      <c r="BC134">
        <f t="shared" si="36"/>
        <v>-20.229377385796347</v>
      </c>
      <c r="BD134">
        <f t="shared" si="37"/>
        <v>289.293574575349</v>
      </c>
      <c r="BE134">
        <f>Koordinaten!$D$5+BC134</f>
        <v>460.77062261420366</v>
      </c>
      <c r="BF134">
        <f>Koordinaten!$D$6+BD134</f>
        <v>762.293574575349</v>
      </c>
    </row>
    <row r="135" spans="54:58" x14ac:dyDescent="0.25">
      <c r="BB135">
        <f t="shared" si="38"/>
        <v>95</v>
      </c>
      <c r="BC135">
        <f t="shared" si="36"/>
        <v>-25.275165396820888</v>
      </c>
      <c r="BD135">
        <f t="shared" si="37"/>
        <v>288.89646244660622</v>
      </c>
      <c r="BE135">
        <f>Koordinaten!$D$5+BC135</f>
        <v>455.72483460317909</v>
      </c>
      <c r="BF135">
        <f>Koordinaten!$D$6+BD135</f>
        <v>761.89646244660617</v>
      </c>
    </row>
    <row r="136" spans="54:58" x14ac:dyDescent="0.25">
      <c r="BB136">
        <f t="shared" si="38"/>
        <v>96</v>
      </c>
      <c r="BC136">
        <f t="shared" si="36"/>
        <v>-30.31325434761953</v>
      </c>
      <c r="BD136">
        <f t="shared" si="37"/>
        <v>288.41134965679925</v>
      </c>
      <c r="BE136">
        <f>Koordinaten!$D$5+BC136</f>
        <v>450.68674565238047</v>
      </c>
      <c r="BF136">
        <f>Koordinaten!$D$6+BD136</f>
        <v>761.4113496567993</v>
      </c>
    </row>
    <row r="137" spans="54:58" x14ac:dyDescent="0.25">
      <c r="BB137">
        <f t="shared" si="38"/>
        <v>97</v>
      </c>
      <c r="BC137">
        <f t="shared" si="36"/>
        <v>-35.342109587492736</v>
      </c>
      <c r="BD137">
        <f t="shared" si="37"/>
        <v>287.83838397598339</v>
      </c>
      <c r="BE137">
        <f>Koordinaten!$D$5+BC137</f>
        <v>445.65789041250724</v>
      </c>
      <c r="BF137">
        <f>Koordinaten!$D$6+BD137</f>
        <v>760.83838397598333</v>
      </c>
    </row>
    <row r="138" spans="54:58" x14ac:dyDescent="0.25">
      <c r="BB138">
        <f t="shared" si="38"/>
        <v>98</v>
      </c>
      <c r="BC138">
        <f t="shared" si="36"/>
        <v>-40.360199278418953</v>
      </c>
      <c r="BD138">
        <f t="shared" si="37"/>
        <v>287.1777399350554</v>
      </c>
      <c r="BE138">
        <f>Koordinaten!$D$5+BC138</f>
        <v>440.63980072158103</v>
      </c>
      <c r="BF138">
        <f>Koordinaten!$D$6+BD138</f>
        <v>760.17773993505534</v>
      </c>
    </row>
    <row r="139" spans="54:58" x14ac:dyDescent="0.25">
      <c r="BB139">
        <f t="shared" si="38"/>
        <v>99</v>
      </c>
      <c r="BC139">
        <f t="shared" si="36"/>
        <v>-45.365994861666934</v>
      </c>
      <c r="BD139">
        <f t="shared" si="37"/>
        <v>286.42961877258995</v>
      </c>
      <c r="BE139">
        <f>Koordinaten!$D$5+BC139</f>
        <v>435.63400513833307</v>
      </c>
      <c r="BF139">
        <f>Koordinaten!$D$6+BD139</f>
        <v>759.42961877258995</v>
      </c>
    </row>
    <row r="140" spans="54:58" x14ac:dyDescent="0.25">
      <c r="BB140">
        <f t="shared" si="38"/>
        <v>100</v>
      </c>
      <c r="BC140">
        <f t="shared" si="36"/>
        <v>-50.357971523409788</v>
      </c>
      <c r="BD140">
        <f t="shared" si="37"/>
        <v>285.59424837354032</v>
      </c>
      <c r="BE140">
        <f>Koordinaten!$D$5+BC140</f>
        <v>430.64202847659021</v>
      </c>
      <c r="BF140">
        <f>Koordinaten!$D$6+BD140</f>
        <v>758.59424837354027</v>
      </c>
    </row>
    <row r="141" spans="54:58" x14ac:dyDescent="0.25">
      <c r="BB141">
        <f t="shared" si="38"/>
        <v>101</v>
      </c>
      <c r="BC141">
        <f t="shared" si="36"/>
        <v>-55.33460865919799</v>
      </c>
      <c r="BD141">
        <f t="shared" si="37"/>
        <v>284.67188319982256</v>
      </c>
      <c r="BE141">
        <f>Koordinaten!$D$5+BC141</f>
        <v>425.66539134080199</v>
      </c>
      <c r="BF141">
        <f>Koordinaten!$D$6+BD141</f>
        <v>757.67188319982256</v>
      </c>
    </row>
    <row r="142" spans="54:58" x14ac:dyDescent="0.25">
      <c r="BB142">
        <f t="shared" si="38"/>
        <v>102</v>
      </c>
      <c r="BC142">
        <f t="shared" si="36"/>
        <v>-60.294390337150212</v>
      </c>
      <c r="BD142">
        <f t="shared" si="37"/>
        <v>283.66280421280362</v>
      </c>
      <c r="BE142">
        <f>Koordinaten!$D$5+BC142</f>
        <v>420.70560966284978</v>
      </c>
      <c r="BF142">
        <f>Koordinaten!$D$6+BD142</f>
        <v>756.66280421280362</v>
      </c>
    </row>
    <row r="143" spans="54:58" x14ac:dyDescent="0.25">
      <c r="BB143">
        <f t="shared" si="38"/>
        <v>103</v>
      </c>
      <c r="BC143">
        <f t="shared" si="36"/>
        <v>-65.235805759720861</v>
      </c>
      <c r="BD143">
        <f t="shared" si="37"/>
        <v>282.56731878771819</v>
      </c>
      <c r="BE143">
        <f>Koordinaten!$D$5+BC143</f>
        <v>415.76419424027915</v>
      </c>
      <c r="BF143">
        <f>Koordinaten!$D$6+BD143</f>
        <v>755.56731878771825</v>
      </c>
    </row>
    <row r="144" spans="54:58" x14ac:dyDescent="0.25">
      <c r="BB144">
        <f t="shared" si="38"/>
        <v>104</v>
      </c>
      <c r="BC144">
        <f t="shared" si="36"/>
        <v>-70.157349723903664</v>
      </c>
      <c r="BD144">
        <f t="shared" si="37"/>
        <v>281.38576062003898</v>
      </c>
      <c r="BE144">
        <f>Koordinaten!$D$5+BC144</f>
        <v>410.84265027609632</v>
      </c>
      <c r="BF144">
        <f>Koordinaten!$D$6+BD144</f>
        <v>754.38576062003904</v>
      </c>
    </row>
    <row r="145" spans="54:58" x14ac:dyDescent="0.25">
      <c r="BB145">
        <f t="shared" si="38"/>
        <v>105</v>
      </c>
      <c r="BC145">
        <f t="shared" si="36"/>
        <v>-75.057523079731041</v>
      </c>
      <c r="BD145">
        <f t="shared" si="37"/>
        <v>280.11848962382982</v>
      </c>
      <c r="BE145">
        <f>Koordinaten!$D$5+BC145</f>
        <v>405.94247692026897</v>
      </c>
      <c r="BF145">
        <f>Koordinaten!$D$6+BD145</f>
        <v>753.11848962382987</v>
      </c>
    </row>
    <row r="146" spans="54:58" x14ac:dyDescent="0.25">
      <c r="BB146">
        <f t="shared" si="38"/>
        <v>106</v>
      </c>
      <c r="BC146">
        <f t="shared" si="36"/>
        <v>-79.934833186929723</v>
      </c>
      <c r="BD146">
        <f t="shared" si="37"/>
        <v>278.76589182211251</v>
      </c>
      <c r="BE146">
        <f>Koordinaten!$D$5+BC146</f>
        <v>401.06516681307028</v>
      </c>
      <c r="BF146">
        <f>Koordinaten!$D$6+BD146</f>
        <v>751.76589182211251</v>
      </c>
    </row>
    <row r="147" spans="54:58" x14ac:dyDescent="0.25">
      <c r="BB147">
        <f t="shared" si="38"/>
        <v>107</v>
      </c>
      <c r="BC147">
        <f t="shared" si="36"/>
        <v>-84.787794369593627</v>
      </c>
      <c r="BD147">
        <f t="shared" si="37"/>
        <v>277.3283792292803</v>
      </c>
      <c r="BE147">
        <f>Koordinaten!$D$5+BC147</f>
        <v>396.2122056304064</v>
      </c>
      <c r="BF147">
        <f>Koordinaten!$D$6+BD147</f>
        <v>750.32837922928024</v>
      </c>
    </row>
    <row r="148" spans="54:58" x14ac:dyDescent="0.25">
      <c r="BB148">
        <f t="shared" si="38"/>
        <v>108</v>
      </c>
      <c r="BC148">
        <f t="shared" si="36"/>
        <v>-89.614928368734724</v>
      </c>
      <c r="BD148">
        <f t="shared" si="37"/>
        <v>275.80638972559456</v>
      </c>
      <c r="BE148">
        <f>Koordinaten!$D$5+BC148</f>
        <v>391.3850716312653</v>
      </c>
      <c r="BF148">
        <f>Koordinaten!$D$6+BD148</f>
        <v>748.8063897255945</v>
      </c>
    </row>
    <row r="149" spans="54:58" x14ac:dyDescent="0.25">
      <c r="BB149">
        <f t="shared" si="38"/>
        <v>109</v>
      </c>
      <c r="BC149">
        <f t="shared" si="36"/>
        <v>-94.414764792575426</v>
      </c>
      <c r="BD149">
        <f t="shared" si="37"/>
        <v>274.20038692380189</v>
      </c>
      <c r="BE149">
        <f>Koordinaten!$D$5+BC149</f>
        <v>386.5852352074246</v>
      </c>
      <c r="BF149">
        <f>Koordinaten!$D$6+BD149</f>
        <v>747.20038692380194</v>
      </c>
    </row>
    <row r="150" spans="54:58" x14ac:dyDescent="0.25">
      <c r="BB150">
        <f t="shared" si="38"/>
        <v>110</v>
      </c>
      <c r="BC150">
        <f t="shared" si="36"/>
        <v>-99.185841564443933</v>
      </c>
      <c r="BD150">
        <f t="shared" si="37"/>
        <v>272.51086002791345</v>
      </c>
      <c r="BE150">
        <f>Koordinaten!$D$5+BC150</f>
        <v>381.81415843555607</v>
      </c>
      <c r="BF150">
        <f>Koordinaten!$D$6+BD150</f>
        <v>745.5108600279134</v>
      </c>
    </row>
    <row r="151" spans="54:58" x14ac:dyDescent="0.25">
      <c r="BB151">
        <f t="shared" si="38"/>
        <v>111</v>
      </c>
      <c r="BC151">
        <f t="shared" si="36"/>
        <v>-103.92670536813708</v>
      </c>
      <c r="BD151">
        <f t="shared" si="37"/>
        <v>270.73832368418852</v>
      </c>
      <c r="BE151">
        <f>Koordinaten!$D$5+BC151</f>
        <v>377.07329463186295</v>
      </c>
      <c r="BF151">
        <f>Koordinaten!$D$6+BD151</f>
        <v>743.73832368418857</v>
      </c>
    </row>
    <row r="152" spans="54:58" x14ac:dyDescent="0.25">
      <c r="BB152">
        <f t="shared" si="38"/>
        <v>112</v>
      </c>
      <c r="BC152">
        <f t="shared" si="36"/>
        <v>-108.6359120906145</v>
      </c>
      <c r="BD152">
        <f t="shared" si="37"/>
        <v>268.88331782436836</v>
      </c>
      <c r="BE152">
        <f>Koordinaten!$D$5+BC152</f>
        <v>372.36408790938549</v>
      </c>
      <c r="BF152">
        <f>Koordinaten!$D$6+BD152</f>
        <v>741.88331782436831</v>
      </c>
    </row>
    <row r="153" spans="54:58" x14ac:dyDescent="0.25">
      <c r="BB153">
        <f t="shared" si="38"/>
        <v>113</v>
      </c>
      <c r="BC153">
        <f t="shared" si="36"/>
        <v>-113.3120272618894</v>
      </c>
      <c r="BD153">
        <f t="shared" si="37"/>
        <v>266.94640750120766</v>
      </c>
      <c r="BE153">
        <f>Koordinaten!$D$5+BC153</f>
        <v>367.6879727381106</v>
      </c>
      <c r="BF153">
        <f>Koordinaten!$D$6+BD153</f>
        <v>739.94640750120766</v>
      </c>
    </row>
    <row r="154" spans="54:58" x14ac:dyDescent="0.25">
      <c r="BB154">
        <f t="shared" si="38"/>
        <v>114</v>
      </c>
      <c r="BC154">
        <f t="shared" si="36"/>
        <v>-117.95362649198208</v>
      </c>
      <c r="BD154">
        <f t="shared" si="37"/>
        <v>264.92818271635423</v>
      </c>
      <c r="BE154">
        <f>Koordinaten!$D$5+BC154</f>
        <v>363.04637350801795</v>
      </c>
      <c r="BF154">
        <f>Koordinaten!$D$6+BD154</f>
        <v>737.92818271635429</v>
      </c>
    </row>
    <row r="155" spans="54:58" x14ac:dyDescent="0.25">
      <c r="BB155">
        <f t="shared" si="38"/>
        <v>115</v>
      </c>
      <c r="BC155">
        <f t="shared" si="36"/>
        <v>-122.55929590480281</v>
      </c>
      <c r="BD155">
        <f t="shared" si="37"/>
        <v>262.82925824062852</v>
      </c>
      <c r="BE155">
        <f>Koordinaten!$D$5+BC155</f>
        <v>358.44070409519719</v>
      </c>
      <c r="BF155">
        <f>Koordinaten!$D$6+BD155</f>
        <v>735.82925824062852</v>
      </c>
    </row>
    <row r="156" spans="54:58" x14ac:dyDescent="0.25">
      <c r="BB156">
        <f t="shared" si="38"/>
        <v>116</v>
      </c>
      <c r="BC156">
        <f t="shared" si="36"/>
        <v>-127.12763256883248</v>
      </c>
      <c r="BD156">
        <f t="shared" si="37"/>
        <v>260.65027342675842</v>
      </c>
      <c r="BE156">
        <f>Koordinaten!$D$5+BC156</f>
        <v>353.8723674311675</v>
      </c>
      <c r="BF156">
        <f>Koordinaten!$D$6+BD156</f>
        <v>733.65027342675842</v>
      </c>
    </row>
    <row r="157" spans="54:58" x14ac:dyDescent="0.25">
      <c r="BB157">
        <f t="shared" si="38"/>
        <v>117</v>
      </c>
      <c r="BC157">
        <f t="shared" si="36"/>
        <v>-131.65724492446853</v>
      </c>
      <c r="BD157">
        <f t="shared" si="37"/>
        <v>258.39189201462671</v>
      </c>
      <c r="BE157">
        <f>Koordinaten!$D$5+BC157</f>
        <v>349.3427550755315</v>
      </c>
      <c r="BF157">
        <f>Koordinaten!$D$6+BD157</f>
        <v>731.39189201462671</v>
      </c>
    </row>
    <row r="158" spans="54:58" x14ac:dyDescent="0.25">
      <c r="BB158">
        <f t="shared" si="38"/>
        <v>118</v>
      </c>
      <c r="BC158">
        <f t="shared" si="36"/>
        <v>-136.14675320790838</v>
      </c>
      <c r="BD158">
        <f t="shared" si="37"/>
        <v>256.0548019290888</v>
      </c>
      <c r="BE158">
        <f>Koordinaten!$D$5+BC158</f>
        <v>344.85324679209162</v>
      </c>
      <c r="BF158">
        <f>Koordinaten!$D$6+BD158</f>
        <v>729.05480192908885</v>
      </c>
    </row>
    <row r="159" spans="54:58" x14ac:dyDescent="0.25">
      <c r="BB159">
        <f t="shared" si="38"/>
        <v>119</v>
      </c>
      <c r="BC159">
        <f t="shared" si="36"/>
        <v>-140.59478987143774</v>
      </c>
      <c r="BD159">
        <f t="shared" si="37"/>
        <v>253.63971507042478</v>
      </c>
      <c r="BE159">
        <f>Koordinaten!$D$5+BC159</f>
        <v>340.40521012856226</v>
      </c>
      <c r="BF159">
        <f>Koordinaten!$D$6+BD159</f>
        <v>726.63971507042481</v>
      </c>
    </row>
    <row r="160" spans="54:58" x14ac:dyDescent="0.25">
      <c r="BB160">
        <f t="shared" si="38"/>
        <v>120</v>
      </c>
      <c r="BC160">
        <f t="shared" si="36"/>
        <v>-144.99999999999994</v>
      </c>
      <c r="BD160">
        <f t="shared" si="37"/>
        <v>251.14736709748723</v>
      </c>
      <c r="BE160">
        <f>Koordinaten!$D$5+BC160</f>
        <v>336.00000000000006</v>
      </c>
      <c r="BF160">
        <f>Koordinaten!$D$6+BD160</f>
        <v>724.14736709748718</v>
      </c>
    </row>
    <row r="161" spans="54:58" x14ac:dyDescent="0.25">
      <c r="BB161">
        <f t="shared" si="38"/>
        <v>121</v>
      </c>
      <c r="BC161">
        <f t="shared" si="36"/>
        <v>-149.36104172391575</v>
      </c>
      <c r="BD161">
        <f t="shared" si="37"/>
        <v>248.57851720361256</v>
      </c>
      <c r="BE161">
        <f>Koordinaten!$D$5+BC161</f>
        <v>331.63895827608428</v>
      </c>
      <c r="BF161">
        <f>Koordinaten!$D$6+BD161</f>
        <v>721.57851720361259</v>
      </c>
    </row>
    <row r="162" spans="54:58" x14ac:dyDescent="0.25">
      <c r="BB162">
        <f t="shared" si="38"/>
        <v>122</v>
      </c>
      <c r="BC162">
        <f t="shared" si="36"/>
        <v>-153.67658662762938</v>
      </c>
      <c r="BD162">
        <f t="shared" si="37"/>
        <v>245.93394788536355</v>
      </c>
      <c r="BE162">
        <f>Koordinaten!$D$5+BC162</f>
        <v>327.32341337237062</v>
      </c>
      <c r="BF162">
        <f>Koordinaten!$D$6+BD162</f>
        <v>718.93394788536352</v>
      </c>
    </row>
    <row r="163" spans="54:58" x14ac:dyDescent="0.25">
      <c r="BB163">
        <f t="shared" si="38"/>
        <v>123</v>
      </c>
      <c r="BC163">
        <f t="shared" si="36"/>
        <v>-157.94532015435786</v>
      </c>
      <c r="BD163">
        <f t="shared" si="37"/>
        <v>243.21446470417294</v>
      </c>
      <c r="BE163">
        <f>Koordinaten!$D$5+BC163</f>
        <v>323.05467984564211</v>
      </c>
      <c r="BF163">
        <f>Koordinaten!$D$6+BD163</f>
        <v>716.214464704173</v>
      </c>
    </row>
    <row r="164" spans="54:58" x14ac:dyDescent="0.25">
      <c r="BB164">
        <f t="shared" si="38"/>
        <v>124</v>
      </c>
      <c r="BC164">
        <f t="shared" si="36"/>
        <v>-162.16594200651653</v>
      </c>
      <c r="BD164">
        <f t="shared" si="37"/>
        <v>240.42089604096211</v>
      </c>
      <c r="BE164">
        <f>Koordinaten!$D$5+BC164</f>
        <v>318.8340579934835</v>
      </c>
      <c r="BF164">
        <f>Koordinaten!$D$6+BD164</f>
        <v>713.42089604096213</v>
      </c>
    </row>
    <row r="165" spans="54:58" x14ac:dyDescent="0.25">
      <c r="BB165">
        <f t="shared" si="38"/>
        <v>125</v>
      </c>
      <c r="BC165">
        <f t="shared" si="36"/>
        <v>-166.33716654180338</v>
      </c>
      <c r="BD165">
        <f t="shared" si="37"/>
        <v>237.55409284380758</v>
      </c>
      <c r="BE165">
        <f>Koordinaten!$D$5+BC165</f>
        <v>314.66283345819659</v>
      </c>
      <c r="BF165">
        <f>Koordinaten!$D$6+BD165</f>
        <v>710.55409284380755</v>
      </c>
    </row>
    <row r="166" spans="54:58" x14ac:dyDescent="0.25">
      <c r="BB166">
        <f t="shared" si="38"/>
        <v>126</v>
      </c>
      <c r="BC166">
        <f t="shared" si="36"/>
        <v>-170.45772316481717</v>
      </c>
      <c r="BD166">
        <f t="shared" si="37"/>
        <v>234.61492836873475</v>
      </c>
      <c r="BE166">
        <f>Koordinaten!$D$5+BC166</f>
        <v>310.54227683518286</v>
      </c>
      <c r="BF166">
        <f>Koordinaten!$D$6+BD166</f>
        <v>707.61492836873481</v>
      </c>
    </row>
    <row r="167" spans="54:58" x14ac:dyDescent="0.25">
      <c r="BB167">
        <f t="shared" si="38"/>
        <v>127</v>
      </c>
      <c r="BC167">
        <f t="shared" si="36"/>
        <v>-174.52635671409402</v>
      </c>
      <c r="BD167">
        <f t="shared" si="37"/>
        <v>231.6042979137149</v>
      </c>
      <c r="BE167">
        <f>Koordinaten!$D$5+BC167</f>
        <v>306.47364328590595</v>
      </c>
      <c r="BF167">
        <f>Koordinaten!$D$6+BD167</f>
        <v>704.60429791371484</v>
      </c>
    </row>
    <row r="168" spans="54:58" x14ac:dyDescent="0.25">
      <c r="BB168">
        <f t="shared" si="38"/>
        <v>128</v>
      </c>
      <c r="BC168">
        <f t="shared" si="36"/>
        <v>-178.54182784444092</v>
      </c>
      <c r="BD168">
        <f t="shared" si="37"/>
        <v>228.52311854594939</v>
      </c>
      <c r="BE168">
        <f>Koordinaten!$D$5+BC168</f>
        <v>302.45817215555905</v>
      </c>
      <c r="BF168">
        <f>Koordinaten!$D$6+BD168</f>
        <v>701.52311854594939</v>
      </c>
    </row>
    <row r="169" spans="54:58" x14ac:dyDescent="0.25">
      <c r="BB169">
        <f t="shared" si="38"/>
        <v>129</v>
      </c>
      <c r="BC169">
        <f t="shared" si="36"/>
        <v>-182.50291340445281</v>
      </c>
      <c r="BD169">
        <f t="shared" si="37"/>
        <v>225.37232882252158</v>
      </c>
      <c r="BE169">
        <f>Koordinaten!$D$5+BC169</f>
        <v>298.49708659554722</v>
      </c>
      <c r="BF169">
        <f>Koordinaten!$D$6+BD169</f>
        <v>698.37232882252158</v>
      </c>
    </row>
    <row r="170" spans="54:58" x14ac:dyDescent="0.25">
      <c r="BB170">
        <f t="shared" si="38"/>
        <v>130</v>
      </c>
      <c r="BC170">
        <f t="shared" ref="BC170:BC233" si="39">$AT$39/10*COS(PI()/360*BB170*2)</f>
        <v>-186.40840680909642</v>
      </c>
      <c r="BD170">
        <f t="shared" ref="BD170:BD233" si="40">$AT$39/10*SIN(PI()/360*BB170*2)</f>
        <v>222.15288850450364</v>
      </c>
      <c r="BE170">
        <f>Koordinaten!$D$5+BC170</f>
        <v>294.59159319090361</v>
      </c>
      <c r="BF170">
        <f>Koordinaten!$D$6+BD170</f>
        <v>695.15288850450361</v>
      </c>
    </row>
    <row r="171" spans="54:58" x14ac:dyDescent="0.25">
      <c r="BB171">
        <f t="shared" ref="BB171:BB234" si="41">BB170+1</f>
        <v>131</v>
      </c>
      <c r="BC171">
        <f t="shared" si="39"/>
        <v>-190.25711840724708</v>
      </c>
      <c r="BD171">
        <f t="shared" si="40"/>
        <v>218.8657782646039</v>
      </c>
      <c r="BE171">
        <f>Koordinaten!$D$5+BC171</f>
        <v>290.74288159275295</v>
      </c>
      <c r="BF171">
        <f>Koordinaten!$D$6+BD171</f>
        <v>691.86577826460393</v>
      </c>
    </row>
    <row r="172" spans="54:58" x14ac:dyDescent="0.25">
      <c r="BB172">
        <f t="shared" si="41"/>
        <v>132</v>
      </c>
      <c r="BC172">
        <f t="shared" si="39"/>
        <v>-194.0478758440689</v>
      </c>
      <c r="BD172">
        <f t="shared" si="40"/>
        <v>215.51199938844434</v>
      </c>
      <c r="BE172">
        <f>Koordinaten!$D$5+BC172</f>
        <v>286.95212415593107</v>
      </c>
      <c r="BF172">
        <f>Koordinaten!$D$6+BD172</f>
        <v>688.51199938844434</v>
      </c>
    </row>
    <row r="173" spans="54:58" x14ac:dyDescent="0.25">
      <c r="BB173">
        <f t="shared" si="41"/>
        <v>133</v>
      </c>
      <c r="BC173">
        <f t="shared" si="39"/>
        <v>-197.77952441812454</v>
      </c>
      <c r="BD173">
        <f t="shared" si="40"/>
        <v>212.09257346955945</v>
      </c>
      <c r="BE173">
        <f>Koordinaten!$D$5+BC173</f>
        <v>283.22047558187546</v>
      </c>
      <c r="BF173">
        <f>Koordinaten!$D$6+BD173</f>
        <v>685.09257346955951</v>
      </c>
    </row>
    <row r="174" spans="54:58" x14ac:dyDescent="0.25">
      <c r="BB174">
        <f t="shared" si="41"/>
        <v>134</v>
      </c>
      <c r="BC174">
        <f t="shared" si="39"/>
        <v>-201.45092743310923</v>
      </c>
      <c r="BD174">
        <f t="shared" si="40"/>
        <v>208.6085420982088</v>
      </c>
      <c r="BE174">
        <f>Koordinaten!$D$5+BC174</f>
        <v>279.5490725668908</v>
      </c>
      <c r="BF174">
        <f>Koordinaten!$D$6+BD174</f>
        <v>681.60854209820877</v>
      </c>
    </row>
    <row r="175" spans="54:58" x14ac:dyDescent="0.25">
      <c r="BB175">
        <f t="shared" si="41"/>
        <v>135</v>
      </c>
      <c r="BC175">
        <f t="shared" si="39"/>
        <v>-205.06096654409876</v>
      </c>
      <c r="BD175">
        <f t="shared" si="40"/>
        <v>205.06096654409879</v>
      </c>
      <c r="BE175">
        <f>Koordinaten!$D$5+BC175</f>
        <v>275.93903345590127</v>
      </c>
      <c r="BF175">
        <f>Koordinaten!$D$6+BD175</f>
        <v>678.06096654409885</v>
      </c>
    </row>
    <row r="176" spans="54:58" x14ac:dyDescent="0.25">
      <c r="BB176">
        <f t="shared" si="41"/>
        <v>136</v>
      </c>
      <c r="BC176">
        <f t="shared" si="39"/>
        <v>-208.60854209820886</v>
      </c>
      <c r="BD176">
        <f t="shared" si="40"/>
        <v>201.45092743310917</v>
      </c>
      <c r="BE176">
        <f>Koordinaten!$D$5+BC176</f>
        <v>272.39145790179111</v>
      </c>
      <c r="BF176">
        <f>Koordinaten!$D$6+BD176</f>
        <v>674.4509274331092</v>
      </c>
    </row>
    <row r="177" spans="54:58" x14ac:dyDescent="0.25">
      <c r="BB177">
        <f t="shared" si="41"/>
        <v>137</v>
      </c>
      <c r="BC177">
        <f t="shared" si="39"/>
        <v>-212.09257346955943</v>
      </c>
      <c r="BD177">
        <f t="shared" si="40"/>
        <v>197.77952441812459</v>
      </c>
      <c r="BE177">
        <f>Koordinaten!$D$5+BC177</f>
        <v>268.9074265304406</v>
      </c>
      <c r="BF177">
        <f>Koordinaten!$D$6+BD177</f>
        <v>670.77952441812454</v>
      </c>
    </row>
    <row r="178" spans="54:58" x14ac:dyDescent="0.25">
      <c r="BB178">
        <f t="shared" si="41"/>
        <v>138</v>
      </c>
      <c r="BC178">
        <f t="shared" si="39"/>
        <v>-215.51199938844428</v>
      </c>
      <c r="BD178">
        <f t="shared" si="40"/>
        <v>194.04787584406893</v>
      </c>
      <c r="BE178">
        <f>Koordinaten!$D$5+BC178</f>
        <v>265.48800061155572</v>
      </c>
      <c r="BF178">
        <f>Koordinaten!$D$6+BD178</f>
        <v>667.04787584406893</v>
      </c>
    </row>
    <row r="179" spans="54:58" x14ac:dyDescent="0.25">
      <c r="BB179">
        <f t="shared" si="41"/>
        <v>139</v>
      </c>
      <c r="BC179">
        <f t="shared" si="39"/>
        <v>-218.86577826460388</v>
      </c>
      <c r="BD179">
        <f t="shared" si="40"/>
        <v>190.25711840724711</v>
      </c>
      <c r="BE179">
        <f>Koordinaten!$D$5+BC179</f>
        <v>262.13422173539612</v>
      </c>
      <c r="BF179">
        <f>Koordinaten!$D$6+BD179</f>
        <v>663.25711840724716</v>
      </c>
    </row>
    <row r="180" spans="54:58" x14ac:dyDescent="0.25">
      <c r="BB180">
        <f t="shared" si="41"/>
        <v>140</v>
      </c>
      <c r="BC180">
        <f t="shared" si="39"/>
        <v>-222.15288850450358</v>
      </c>
      <c r="BD180">
        <f t="shared" si="40"/>
        <v>186.40840680909645</v>
      </c>
      <c r="BE180">
        <f>Koordinaten!$D$5+BC180</f>
        <v>258.84711149549639</v>
      </c>
      <c r="BF180">
        <f>Koordinaten!$D$6+BD180</f>
        <v>659.4084068090965</v>
      </c>
    </row>
    <row r="181" spans="54:58" x14ac:dyDescent="0.25">
      <c r="BB181">
        <f t="shared" si="41"/>
        <v>141</v>
      </c>
      <c r="BC181">
        <f t="shared" si="39"/>
        <v>-225.37232882252155</v>
      </c>
      <c r="BD181">
        <f t="shared" si="40"/>
        <v>182.50291340445284</v>
      </c>
      <c r="BE181">
        <f>Koordinaten!$D$5+BC181</f>
        <v>255.62767117747845</v>
      </c>
      <c r="BF181">
        <f>Koordinaten!$D$6+BD181</f>
        <v>655.50291340445278</v>
      </c>
    </row>
    <row r="182" spans="54:58" x14ac:dyDescent="0.25">
      <c r="BB182">
        <f t="shared" si="41"/>
        <v>142</v>
      </c>
      <c r="BC182">
        <f t="shared" si="39"/>
        <v>-228.52311854594936</v>
      </c>
      <c r="BD182">
        <f t="shared" si="40"/>
        <v>178.54182784444095</v>
      </c>
      <c r="BE182">
        <f>Koordinaten!$D$5+BC182</f>
        <v>252.47688145405064</v>
      </c>
      <c r="BF182">
        <f>Koordinaten!$D$6+BD182</f>
        <v>651.54182784444095</v>
      </c>
    </row>
    <row r="183" spans="54:58" x14ac:dyDescent="0.25">
      <c r="BB183">
        <f t="shared" si="41"/>
        <v>143</v>
      </c>
      <c r="BC183">
        <f t="shared" si="39"/>
        <v>-231.60429791371496</v>
      </c>
      <c r="BD183">
        <f t="shared" si="40"/>
        <v>174.52635671409396</v>
      </c>
      <c r="BE183">
        <f>Koordinaten!$D$5+BC183</f>
        <v>249.39570208628504</v>
      </c>
      <c r="BF183">
        <f>Koordinaten!$D$6+BD183</f>
        <v>647.52635671409394</v>
      </c>
    </row>
    <row r="184" spans="54:58" x14ac:dyDescent="0.25">
      <c r="BB184">
        <f t="shared" si="41"/>
        <v>144</v>
      </c>
      <c r="BC184">
        <f t="shared" si="39"/>
        <v>-234.61492836873472</v>
      </c>
      <c r="BD184">
        <f t="shared" si="40"/>
        <v>170.45772316481725</v>
      </c>
      <c r="BE184">
        <f>Koordinaten!$D$5+BC184</f>
        <v>246.38507163126528</v>
      </c>
      <c r="BF184">
        <f>Koordinaten!$D$6+BD184</f>
        <v>643.45772316481725</v>
      </c>
    </row>
    <row r="185" spans="54:58" x14ac:dyDescent="0.25">
      <c r="BB185">
        <f t="shared" si="41"/>
        <v>145</v>
      </c>
      <c r="BC185">
        <f t="shared" si="39"/>
        <v>-237.55409284380767</v>
      </c>
      <c r="BD185">
        <f t="shared" si="40"/>
        <v>166.33716654180333</v>
      </c>
      <c r="BE185">
        <f>Koordinaten!$D$5+BC185</f>
        <v>243.44590715619233</v>
      </c>
      <c r="BF185">
        <f>Koordinaten!$D$6+BD185</f>
        <v>639.3371665418033</v>
      </c>
    </row>
    <row r="186" spans="54:58" x14ac:dyDescent="0.25">
      <c r="BB186">
        <f t="shared" si="41"/>
        <v>146</v>
      </c>
      <c r="BC186">
        <f t="shared" si="39"/>
        <v>-240.42089604096208</v>
      </c>
      <c r="BD186">
        <f t="shared" si="40"/>
        <v>162.16594200651662</v>
      </c>
      <c r="BE186">
        <f>Koordinaten!$D$5+BC186</f>
        <v>240.57910395903792</v>
      </c>
      <c r="BF186">
        <f>Koordinaten!$D$6+BD186</f>
        <v>635.16594200651662</v>
      </c>
    </row>
    <row r="187" spans="54:58" x14ac:dyDescent="0.25">
      <c r="BB187">
        <f t="shared" si="41"/>
        <v>147</v>
      </c>
      <c r="BC187">
        <f t="shared" si="39"/>
        <v>-243.21446470417294</v>
      </c>
      <c r="BD187">
        <f t="shared" si="40"/>
        <v>157.94532015435792</v>
      </c>
      <c r="BE187">
        <f>Koordinaten!$D$5+BC187</f>
        <v>237.78553529582706</v>
      </c>
      <c r="BF187">
        <f>Koordinaten!$D$6+BD187</f>
        <v>630.94532015435789</v>
      </c>
    </row>
    <row r="188" spans="54:58" x14ac:dyDescent="0.25">
      <c r="BB188">
        <f t="shared" si="41"/>
        <v>148</v>
      </c>
      <c r="BC188">
        <f t="shared" si="39"/>
        <v>-245.93394788536352</v>
      </c>
      <c r="BD188">
        <f t="shared" si="40"/>
        <v>153.67658662762943</v>
      </c>
      <c r="BE188">
        <f>Koordinaten!$D$5+BC188</f>
        <v>235.06605211463648</v>
      </c>
      <c r="BF188">
        <f>Koordinaten!$D$6+BD188</f>
        <v>626.67658662762938</v>
      </c>
    </row>
    <row r="189" spans="54:58" x14ac:dyDescent="0.25">
      <c r="BB189">
        <f t="shared" si="41"/>
        <v>149</v>
      </c>
      <c r="BC189">
        <f t="shared" si="39"/>
        <v>-248.57851720361253</v>
      </c>
      <c r="BD189">
        <f t="shared" si="40"/>
        <v>149.36104172391578</v>
      </c>
      <c r="BE189">
        <f>Koordinaten!$D$5+BC189</f>
        <v>232.42148279638747</v>
      </c>
      <c r="BF189">
        <f>Koordinaten!$D$6+BD189</f>
        <v>622.36104172391583</v>
      </c>
    </row>
    <row r="190" spans="54:58" x14ac:dyDescent="0.25">
      <c r="BB190">
        <f t="shared" si="41"/>
        <v>150</v>
      </c>
      <c r="BC190">
        <f t="shared" si="39"/>
        <v>-251.14736709748723</v>
      </c>
      <c r="BD190">
        <f t="shared" si="40"/>
        <v>144.99999999999997</v>
      </c>
      <c r="BE190">
        <f>Koordinaten!$D$5+BC190</f>
        <v>229.85263290251277</v>
      </c>
      <c r="BF190">
        <f>Koordinaten!$D$6+BD190</f>
        <v>618</v>
      </c>
    </row>
    <row r="191" spans="54:58" x14ac:dyDescent="0.25">
      <c r="BB191">
        <f t="shared" si="41"/>
        <v>151</v>
      </c>
      <c r="BC191">
        <f t="shared" si="39"/>
        <v>-253.63971507042476</v>
      </c>
      <c r="BD191">
        <f t="shared" si="40"/>
        <v>140.59478987143777</v>
      </c>
      <c r="BE191">
        <f>Koordinaten!$D$5+BC191</f>
        <v>227.36028492957524</v>
      </c>
      <c r="BF191">
        <f>Koordinaten!$D$6+BD191</f>
        <v>613.5947898714378</v>
      </c>
    </row>
    <row r="192" spans="54:58" x14ac:dyDescent="0.25">
      <c r="BB192">
        <f t="shared" si="41"/>
        <v>152</v>
      </c>
      <c r="BC192">
        <f t="shared" si="39"/>
        <v>-256.05480192908885</v>
      </c>
      <c r="BD192">
        <f t="shared" si="40"/>
        <v>136.14675320790829</v>
      </c>
      <c r="BE192">
        <f>Koordinaten!$D$5+BC192</f>
        <v>224.94519807091115</v>
      </c>
      <c r="BF192">
        <f>Koordinaten!$D$6+BD192</f>
        <v>609.14675320790832</v>
      </c>
    </row>
    <row r="193" spans="54:58" x14ac:dyDescent="0.25">
      <c r="BB193">
        <f t="shared" si="41"/>
        <v>153</v>
      </c>
      <c r="BC193">
        <f t="shared" si="39"/>
        <v>-258.39189201462665</v>
      </c>
      <c r="BD193">
        <f t="shared" si="40"/>
        <v>131.65724492446859</v>
      </c>
      <c r="BE193">
        <f>Koordinaten!$D$5+BC193</f>
        <v>222.60810798537335</v>
      </c>
      <c r="BF193">
        <f>Koordinaten!$D$6+BD193</f>
        <v>604.65724492446861</v>
      </c>
    </row>
    <row r="194" spans="54:58" x14ac:dyDescent="0.25">
      <c r="BB194">
        <f t="shared" si="41"/>
        <v>154</v>
      </c>
      <c r="BC194">
        <f t="shared" si="39"/>
        <v>-260.65027342675842</v>
      </c>
      <c r="BD194">
        <f t="shared" si="40"/>
        <v>127.12763256883241</v>
      </c>
      <c r="BE194">
        <f>Koordinaten!$D$5+BC194</f>
        <v>220.34972657324158</v>
      </c>
      <c r="BF194">
        <f>Koordinaten!$D$6+BD194</f>
        <v>600.12763256883238</v>
      </c>
    </row>
    <row r="195" spans="54:58" x14ac:dyDescent="0.25">
      <c r="BB195">
        <f t="shared" si="41"/>
        <v>155</v>
      </c>
      <c r="BC195">
        <f t="shared" si="39"/>
        <v>-262.82925824062846</v>
      </c>
      <c r="BD195">
        <f t="shared" si="40"/>
        <v>122.55929590480285</v>
      </c>
      <c r="BE195">
        <f>Koordinaten!$D$5+BC195</f>
        <v>218.17074175937154</v>
      </c>
      <c r="BF195">
        <f>Koordinaten!$D$6+BD195</f>
        <v>595.55929590480287</v>
      </c>
    </row>
    <row r="196" spans="54:58" x14ac:dyDescent="0.25">
      <c r="BB196">
        <f t="shared" si="41"/>
        <v>156</v>
      </c>
      <c r="BC196">
        <f t="shared" si="39"/>
        <v>-264.92818271635423</v>
      </c>
      <c r="BD196">
        <f t="shared" si="40"/>
        <v>117.95362649198212</v>
      </c>
      <c r="BE196">
        <f>Koordinaten!$D$5+BC196</f>
        <v>216.07181728364577</v>
      </c>
      <c r="BF196">
        <f>Koordinaten!$D$6+BD196</f>
        <v>590.95362649198216</v>
      </c>
    </row>
    <row r="197" spans="54:58" x14ac:dyDescent="0.25">
      <c r="BB197">
        <f t="shared" si="41"/>
        <v>157</v>
      </c>
      <c r="BC197">
        <f t="shared" si="39"/>
        <v>-266.94640750120772</v>
      </c>
      <c r="BD197">
        <f t="shared" si="40"/>
        <v>113.3120272618894</v>
      </c>
      <c r="BE197">
        <f>Koordinaten!$D$5+BC197</f>
        <v>214.05359249879228</v>
      </c>
      <c r="BF197">
        <f>Koordinaten!$D$6+BD197</f>
        <v>586.3120272618894</v>
      </c>
    </row>
    <row r="198" spans="54:58" x14ac:dyDescent="0.25">
      <c r="BB198">
        <f t="shared" si="41"/>
        <v>158</v>
      </c>
      <c r="BC198">
        <f t="shared" si="39"/>
        <v>-268.88331782436831</v>
      </c>
      <c r="BD198">
        <f t="shared" si="40"/>
        <v>108.63591209061455</v>
      </c>
      <c r="BE198">
        <f>Koordinaten!$D$5+BC198</f>
        <v>212.11668217563169</v>
      </c>
      <c r="BF198">
        <f>Koordinaten!$D$6+BD198</f>
        <v>581.63591209061451</v>
      </c>
    </row>
    <row r="199" spans="54:58" x14ac:dyDescent="0.25">
      <c r="BB199">
        <f t="shared" si="41"/>
        <v>159</v>
      </c>
      <c r="BC199">
        <f t="shared" si="39"/>
        <v>-270.73832368418852</v>
      </c>
      <c r="BD199">
        <f t="shared" si="40"/>
        <v>103.92670536813706</v>
      </c>
      <c r="BE199">
        <f>Koordinaten!$D$5+BC199</f>
        <v>210.26167631581148</v>
      </c>
      <c r="BF199">
        <f>Koordinaten!$D$6+BD199</f>
        <v>576.92670536813705</v>
      </c>
    </row>
    <row r="200" spans="54:58" x14ac:dyDescent="0.25">
      <c r="BB200">
        <f t="shared" si="41"/>
        <v>160</v>
      </c>
      <c r="BC200">
        <f t="shared" si="39"/>
        <v>-272.5108600279134</v>
      </c>
      <c r="BD200">
        <f t="shared" si="40"/>
        <v>99.185841564443976</v>
      </c>
      <c r="BE200">
        <f>Koordinaten!$D$5+BC200</f>
        <v>208.4891399720866</v>
      </c>
      <c r="BF200">
        <f>Koordinaten!$D$6+BD200</f>
        <v>572.18584156444399</v>
      </c>
    </row>
    <row r="201" spans="54:58" x14ac:dyDescent="0.25">
      <c r="BB201">
        <f t="shared" si="41"/>
        <v>161</v>
      </c>
      <c r="BC201">
        <f t="shared" si="39"/>
        <v>-274.20038692380189</v>
      </c>
      <c r="BD201">
        <f t="shared" si="40"/>
        <v>94.414764792575411</v>
      </c>
      <c r="BE201">
        <f>Koordinaten!$D$5+BC201</f>
        <v>206.79961307619811</v>
      </c>
      <c r="BF201">
        <f>Koordinaten!$D$6+BD201</f>
        <v>567.4147647925754</v>
      </c>
    </row>
    <row r="202" spans="54:58" x14ac:dyDescent="0.25">
      <c r="BB202">
        <f t="shared" si="41"/>
        <v>162</v>
      </c>
      <c r="BC202">
        <f t="shared" si="39"/>
        <v>-275.8063897255945</v>
      </c>
      <c r="BD202">
        <f t="shared" si="40"/>
        <v>89.61492836873478</v>
      </c>
      <c r="BE202">
        <f>Koordinaten!$D$5+BC202</f>
        <v>205.1936102744055</v>
      </c>
      <c r="BF202">
        <f>Koordinaten!$D$6+BD202</f>
        <v>562.61492836873481</v>
      </c>
    </row>
    <row r="203" spans="54:58" x14ac:dyDescent="0.25">
      <c r="BB203">
        <f t="shared" si="41"/>
        <v>163</v>
      </c>
      <c r="BC203">
        <f t="shared" si="39"/>
        <v>-277.3283792292803</v>
      </c>
      <c r="BD203">
        <f t="shared" si="40"/>
        <v>84.787794369593612</v>
      </c>
      <c r="BE203">
        <f>Koordinaten!$D$5+BC203</f>
        <v>203.6716207707197</v>
      </c>
      <c r="BF203">
        <f>Koordinaten!$D$6+BD203</f>
        <v>557.7877943695936</v>
      </c>
    </row>
    <row r="204" spans="54:58" x14ac:dyDescent="0.25">
      <c r="BB204">
        <f t="shared" si="41"/>
        <v>164</v>
      </c>
      <c r="BC204">
        <f t="shared" si="39"/>
        <v>-278.76589182211251</v>
      </c>
      <c r="BD204">
        <f t="shared" si="40"/>
        <v>79.934833186929779</v>
      </c>
      <c r="BE204">
        <f>Koordinaten!$D$5+BC204</f>
        <v>202.23410817788749</v>
      </c>
      <c r="BF204">
        <f>Koordinaten!$D$6+BD204</f>
        <v>552.93483318692984</v>
      </c>
    </row>
    <row r="205" spans="54:58" x14ac:dyDescent="0.25">
      <c r="BB205">
        <f t="shared" si="41"/>
        <v>165</v>
      </c>
      <c r="BC205">
        <f t="shared" si="39"/>
        <v>-280.11848962382976</v>
      </c>
      <c r="BD205">
        <f t="shared" si="40"/>
        <v>75.057523079731098</v>
      </c>
      <c r="BE205">
        <f>Koordinaten!$D$5+BC205</f>
        <v>200.88151037617024</v>
      </c>
      <c r="BF205">
        <f>Koordinaten!$D$6+BD205</f>
        <v>548.05752307973114</v>
      </c>
    </row>
    <row r="206" spans="54:58" x14ac:dyDescent="0.25">
      <c r="BB206">
        <f t="shared" si="41"/>
        <v>166</v>
      </c>
      <c r="BC206">
        <f t="shared" si="39"/>
        <v>-281.38576062003898</v>
      </c>
      <c r="BD206">
        <f t="shared" si="40"/>
        <v>70.157349723903636</v>
      </c>
      <c r="BE206">
        <f>Koordinaten!$D$5+BC206</f>
        <v>199.61423937996102</v>
      </c>
      <c r="BF206">
        <f>Koordinaten!$D$6+BD206</f>
        <v>543.15734972390362</v>
      </c>
    </row>
    <row r="207" spans="54:58" x14ac:dyDescent="0.25">
      <c r="BB207">
        <f t="shared" si="41"/>
        <v>167</v>
      </c>
      <c r="BC207">
        <f t="shared" si="39"/>
        <v>-282.56731878771819</v>
      </c>
      <c r="BD207">
        <f t="shared" si="40"/>
        <v>65.235805759720904</v>
      </c>
      <c r="BE207">
        <f>Koordinaten!$D$5+BC207</f>
        <v>198.43268121228181</v>
      </c>
      <c r="BF207">
        <f>Koordinaten!$D$6+BD207</f>
        <v>538.23580575972096</v>
      </c>
    </row>
    <row r="208" spans="54:58" x14ac:dyDescent="0.25">
      <c r="BB208">
        <f t="shared" si="41"/>
        <v>168</v>
      </c>
      <c r="BC208">
        <f t="shared" si="39"/>
        <v>-283.66280421280362</v>
      </c>
      <c r="BD208">
        <f t="shared" si="40"/>
        <v>60.294390337150205</v>
      </c>
      <c r="BE208">
        <f>Koordinaten!$D$5+BC208</f>
        <v>197.33719578719638</v>
      </c>
      <c r="BF208">
        <f>Koordinaten!$D$6+BD208</f>
        <v>533.29439033715016</v>
      </c>
    </row>
    <row r="209" spans="54:58" x14ac:dyDescent="0.25">
      <c r="BB209">
        <f t="shared" si="41"/>
        <v>169</v>
      </c>
      <c r="BC209">
        <f t="shared" si="39"/>
        <v>-284.67188319982256</v>
      </c>
      <c r="BD209">
        <f t="shared" si="40"/>
        <v>55.33460865919804</v>
      </c>
      <c r="BE209">
        <f>Koordinaten!$D$5+BC209</f>
        <v>196.32811680017744</v>
      </c>
      <c r="BF209">
        <f>Koordinaten!$D$6+BD209</f>
        <v>528.33460865919801</v>
      </c>
    </row>
    <row r="210" spans="54:58" x14ac:dyDescent="0.25">
      <c r="BB210">
        <f t="shared" si="41"/>
        <v>170</v>
      </c>
      <c r="BC210">
        <f t="shared" si="39"/>
        <v>-285.59424837354032</v>
      </c>
      <c r="BD210">
        <f t="shared" si="40"/>
        <v>50.35797152340978</v>
      </c>
      <c r="BE210">
        <f>Koordinaten!$D$5+BC210</f>
        <v>195.40575162645968</v>
      </c>
      <c r="BF210">
        <f>Koordinaten!$D$6+BD210</f>
        <v>523.35797152340979</v>
      </c>
    </row>
    <row r="211" spans="54:58" x14ac:dyDescent="0.25">
      <c r="BB211">
        <f t="shared" si="41"/>
        <v>171</v>
      </c>
      <c r="BC211">
        <f t="shared" si="39"/>
        <v>-286.42961877258995</v>
      </c>
      <c r="BD211">
        <f t="shared" si="40"/>
        <v>45.365994861666984</v>
      </c>
      <c r="BE211">
        <f>Koordinaten!$D$5+BC211</f>
        <v>194.57038122741005</v>
      </c>
      <c r="BF211">
        <f>Koordinaten!$D$6+BD211</f>
        <v>518.36599486166699</v>
      </c>
    </row>
    <row r="212" spans="54:58" x14ac:dyDescent="0.25">
      <c r="BB212">
        <f t="shared" si="41"/>
        <v>172</v>
      </c>
      <c r="BC212">
        <f t="shared" si="39"/>
        <v>-287.1777399350554</v>
      </c>
      <c r="BD212">
        <f t="shared" si="40"/>
        <v>40.360199278418946</v>
      </c>
      <c r="BE212">
        <f>Koordinaten!$D$5+BC212</f>
        <v>193.8222600649446</v>
      </c>
      <c r="BF212">
        <f>Koordinaten!$D$6+BD212</f>
        <v>513.36019927841892</v>
      </c>
    </row>
    <row r="213" spans="54:58" x14ac:dyDescent="0.25">
      <c r="BB213">
        <f t="shared" si="41"/>
        <v>173</v>
      </c>
      <c r="BC213">
        <f t="shared" si="39"/>
        <v>-287.83838397598339</v>
      </c>
      <c r="BD213">
        <f t="shared" si="40"/>
        <v>35.342109587492786</v>
      </c>
      <c r="BE213">
        <f>Koordinaten!$D$5+BC213</f>
        <v>193.16161602401661</v>
      </c>
      <c r="BF213">
        <f>Koordinaten!$D$6+BD213</f>
        <v>508.34210958749281</v>
      </c>
    </row>
    <row r="214" spans="54:58" x14ac:dyDescent="0.25">
      <c r="BB214">
        <f t="shared" si="41"/>
        <v>174</v>
      </c>
      <c r="BC214">
        <f t="shared" si="39"/>
        <v>-288.41134965679925</v>
      </c>
      <c r="BD214">
        <f t="shared" si="40"/>
        <v>30.313254347619583</v>
      </c>
      <c r="BE214">
        <f>Koordinaten!$D$5+BC214</f>
        <v>192.58865034320075</v>
      </c>
      <c r="BF214">
        <f>Koordinaten!$D$6+BD214</f>
        <v>503.31325434761959</v>
      </c>
    </row>
    <row r="215" spans="54:58" x14ac:dyDescent="0.25">
      <c r="BB215">
        <f t="shared" si="41"/>
        <v>175</v>
      </c>
      <c r="BC215">
        <f t="shared" si="39"/>
        <v>-288.89646244660622</v>
      </c>
      <c r="BD215">
        <f t="shared" si="40"/>
        <v>25.275165396820878</v>
      </c>
      <c r="BE215">
        <f>Koordinaten!$D$5+BC215</f>
        <v>192.10353755339378</v>
      </c>
      <c r="BF215">
        <f>Koordinaten!$D$6+BD215</f>
        <v>498.27516539682085</v>
      </c>
    </row>
    <row r="216" spans="54:58" x14ac:dyDescent="0.25">
      <c r="BB216">
        <f t="shared" si="41"/>
        <v>176</v>
      </c>
      <c r="BC216">
        <f t="shared" si="39"/>
        <v>-289.293574575349</v>
      </c>
      <c r="BD216">
        <f t="shared" si="40"/>
        <v>20.229377385796401</v>
      </c>
      <c r="BE216">
        <f>Koordinaten!$D$5+BC216</f>
        <v>191.706425424651</v>
      </c>
      <c r="BF216">
        <f>Koordinaten!$D$6+BD216</f>
        <v>493.2293773857964</v>
      </c>
    </row>
    <row r="217" spans="54:58" x14ac:dyDescent="0.25">
      <c r="BB217">
        <f t="shared" si="41"/>
        <v>177</v>
      </c>
      <c r="BC217">
        <f t="shared" si="39"/>
        <v>-289.60256507882639</v>
      </c>
      <c r="BD217">
        <f t="shared" si="40"/>
        <v>15.177427310453703</v>
      </c>
      <c r="BE217">
        <f>Koordinaten!$D$5+BC217</f>
        <v>191.39743492117361</v>
      </c>
      <c r="BF217">
        <f>Koordinaten!$D$6+BD217</f>
        <v>488.17742731045371</v>
      </c>
    </row>
    <row r="218" spans="54:58" x14ac:dyDescent="0.25">
      <c r="BB218">
        <f t="shared" si="41"/>
        <v>178</v>
      </c>
      <c r="BC218">
        <f t="shared" si="39"/>
        <v>-289.82333983553775</v>
      </c>
      <c r="BD218">
        <f t="shared" si="40"/>
        <v>10.12085404372533</v>
      </c>
      <c r="BE218">
        <f>Koordinaten!$D$5+BC218</f>
        <v>191.17666016446225</v>
      </c>
      <c r="BF218">
        <f>Koordinaten!$D$6+BD218</f>
        <v>483.12085404372533</v>
      </c>
    </row>
    <row r="219" spans="54:58" x14ac:dyDescent="0.25">
      <c r="BB219">
        <f t="shared" si="41"/>
        <v>179</v>
      </c>
      <c r="BC219">
        <f t="shared" si="39"/>
        <v>-289.95583159535346</v>
      </c>
      <c r="BD219">
        <f t="shared" si="40"/>
        <v>5.0611978668121971</v>
      </c>
      <c r="BE219">
        <f>Koordinaten!$D$5+BC219</f>
        <v>191.04416840464654</v>
      </c>
      <c r="BF219">
        <f>Koordinaten!$D$6+BD219</f>
        <v>478.06119786681222</v>
      </c>
    </row>
    <row r="220" spans="54:58" x14ac:dyDescent="0.25">
      <c r="BB220">
        <f t="shared" si="41"/>
        <v>180</v>
      </c>
      <c r="BC220">
        <f t="shared" si="39"/>
        <v>-290</v>
      </c>
      <c r="BD220">
        <f t="shared" si="40"/>
        <v>3.552930519234998E-14</v>
      </c>
      <c r="BE220">
        <f>Koordinaten!$D$5+BC220</f>
        <v>191</v>
      </c>
      <c r="BF220">
        <f>Koordinaten!$D$6+BD220</f>
        <v>473.00000000000006</v>
      </c>
    </row>
    <row r="221" spans="54:58" x14ac:dyDescent="0.25">
      <c r="BB221">
        <f t="shared" si="41"/>
        <v>181</v>
      </c>
      <c r="BC221">
        <f t="shared" si="39"/>
        <v>-289.95583159535346</v>
      </c>
      <c r="BD221">
        <f t="shared" si="40"/>
        <v>-5.0611978668122548</v>
      </c>
      <c r="BE221">
        <f>Koordinaten!$D$5+BC221</f>
        <v>191.04416840464654</v>
      </c>
      <c r="BF221">
        <f>Koordinaten!$D$6+BD221</f>
        <v>467.93880213318772</v>
      </c>
    </row>
    <row r="222" spans="54:58" x14ac:dyDescent="0.25">
      <c r="BB222">
        <f t="shared" si="41"/>
        <v>182</v>
      </c>
      <c r="BC222">
        <f t="shared" si="39"/>
        <v>-289.82333983553775</v>
      </c>
      <c r="BD222">
        <f t="shared" si="40"/>
        <v>-10.120854043725261</v>
      </c>
      <c r="BE222">
        <f>Koordinaten!$D$5+BC222</f>
        <v>191.17666016446225</v>
      </c>
      <c r="BF222">
        <f>Koordinaten!$D$6+BD222</f>
        <v>462.87914595627473</v>
      </c>
    </row>
    <row r="223" spans="54:58" x14ac:dyDescent="0.25">
      <c r="BB223">
        <f t="shared" si="41"/>
        <v>183</v>
      </c>
      <c r="BC223">
        <f t="shared" si="39"/>
        <v>-289.60256507882639</v>
      </c>
      <c r="BD223">
        <f t="shared" si="40"/>
        <v>-15.177427310453632</v>
      </c>
      <c r="BE223">
        <f>Koordinaten!$D$5+BC223</f>
        <v>191.39743492117361</v>
      </c>
      <c r="BF223">
        <f>Koordinaten!$D$6+BD223</f>
        <v>457.82257268954635</v>
      </c>
    </row>
    <row r="224" spans="54:58" x14ac:dyDescent="0.25">
      <c r="BB224">
        <f t="shared" si="41"/>
        <v>184</v>
      </c>
      <c r="BC224">
        <f t="shared" si="39"/>
        <v>-289.293574575349</v>
      </c>
      <c r="BD224">
        <f t="shared" si="40"/>
        <v>-20.229377385796329</v>
      </c>
      <c r="BE224">
        <f>Koordinaten!$D$5+BC224</f>
        <v>191.706425424651</v>
      </c>
      <c r="BF224">
        <f>Koordinaten!$D$6+BD224</f>
        <v>452.77062261420366</v>
      </c>
    </row>
    <row r="225" spans="54:58" x14ac:dyDescent="0.25">
      <c r="BB225">
        <f t="shared" si="41"/>
        <v>185</v>
      </c>
      <c r="BC225">
        <f t="shared" si="39"/>
        <v>-288.89646244660622</v>
      </c>
      <c r="BD225">
        <f t="shared" si="40"/>
        <v>-25.275165396820803</v>
      </c>
      <c r="BE225">
        <f>Koordinaten!$D$5+BC225</f>
        <v>192.10353755339378</v>
      </c>
      <c r="BF225">
        <f>Koordinaten!$D$6+BD225</f>
        <v>447.7248346031792</v>
      </c>
    </row>
    <row r="226" spans="54:58" x14ac:dyDescent="0.25">
      <c r="BB226">
        <f t="shared" si="41"/>
        <v>186</v>
      </c>
      <c r="BC226">
        <f t="shared" si="39"/>
        <v>-288.41134965679925</v>
      </c>
      <c r="BD226">
        <f t="shared" si="40"/>
        <v>-30.313254347619516</v>
      </c>
      <c r="BE226">
        <f>Koordinaten!$D$5+BC226</f>
        <v>192.58865034320075</v>
      </c>
      <c r="BF226">
        <f>Koordinaten!$D$6+BD226</f>
        <v>442.68674565238047</v>
      </c>
    </row>
    <row r="227" spans="54:58" x14ac:dyDescent="0.25">
      <c r="BB227">
        <f t="shared" si="41"/>
        <v>187</v>
      </c>
      <c r="BC227">
        <f t="shared" si="39"/>
        <v>-287.83838397598339</v>
      </c>
      <c r="BD227">
        <f t="shared" si="40"/>
        <v>-35.342109587492722</v>
      </c>
      <c r="BE227">
        <f>Koordinaten!$D$5+BC227</f>
        <v>193.16161602401661</v>
      </c>
      <c r="BF227">
        <f>Koordinaten!$D$6+BD227</f>
        <v>437.6578904125073</v>
      </c>
    </row>
    <row r="228" spans="54:58" x14ac:dyDescent="0.25">
      <c r="BB228">
        <f t="shared" si="41"/>
        <v>188</v>
      </c>
      <c r="BC228">
        <f t="shared" si="39"/>
        <v>-287.1777399350554</v>
      </c>
      <c r="BD228">
        <f t="shared" si="40"/>
        <v>-40.360199278419003</v>
      </c>
      <c r="BE228">
        <f>Koordinaten!$D$5+BC228</f>
        <v>193.8222600649446</v>
      </c>
      <c r="BF228">
        <f>Koordinaten!$D$6+BD228</f>
        <v>432.63980072158097</v>
      </c>
    </row>
    <row r="229" spans="54:58" x14ac:dyDescent="0.25">
      <c r="BB229">
        <f t="shared" si="41"/>
        <v>189</v>
      </c>
      <c r="BC229">
        <f t="shared" si="39"/>
        <v>-286.42961877258995</v>
      </c>
      <c r="BD229">
        <f t="shared" si="40"/>
        <v>-45.365994861666913</v>
      </c>
      <c r="BE229">
        <f>Koordinaten!$D$5+BC229</f>
        <v>194.57038122741005</v>
      </c>
      <c r="BF229">
        <f>Koordinaten!$D$6+BD229</f>
        <v>427.63400513833307</v>
      </c>
    </row>
    <row r="230" spans="54:58" x14ac:dyDescent="0.25">
      <c r="BB230">
        <f t="shared" si="41"/>
        <v>190</v>
      </c>
      <c r="BC230">
        <f t="shared" si="39"/>
        <v>-285.59424837354032</v>
      </c>
      <c r="BD230">
        <f t="shared" si="40"/>
        <v>-50.357971523409837</v>
      </c>
      <c r="BE230">
        <f>Koordinaten!$D$5+BC230</f>
        <v>195.40575162645968</v>
      </c>
      <c r="BF230">
        <f>Koordinaten!$D$6+BD230</f>
        <v>422.64202847659016</v>
      </c>
    </row>
    <row r="231" spans="54:58" x14ac:dyDescent="0.25">
      <c r="BB231">
        <f t="shared" si="41"/>
        <v>191</v>
      </c>
      <c r="BC231">
        <f t="shared" si="39"/>
        <v>-284.67188319982256</v>
      </c>
      <c r="BD231">
        <f t="shared" si="40"/>
        <v>-55.334608659197968</v>
      </c>
      <c r="BE231">
        <f>Koordinaten!$D$5+BC231</f>
        <v>196.32811680017744</v>
      </c>
      <c r="BF231">
        <f>Koordinaten!$D$6+BD231</f>
        <v>417.66539134080205</v>
      </c>
    </row>
    <row r="232" spans="54:58" x14ac:dyDescent="0.25">
      <c r="BB232">
        <f t="shared" si="41"/>
        <v>192</v>
      </c>
      <c r="BC232">
        <f t="shared" si="39"/>
        <v>-283.66280421280362</v>
      </c>
      <c r="BD232">
        <f t="shared" si="40"/>
        <v>-60.294390337150254</v>
      </c>
      <c r="BE232">
        <f>Koordinaten!$D$5+BC232</f>
        <v>197.33719578719638</v>
      </c>
      <c r="BF232">
        <f>Koordinaten!$D$6+BD232</f>
        <v>412.70560966284972</v>
      </c>
    </row>
    <row r="233" spans="54:58" x14ac:dyDescent="0.25">
      <c r="BB233">
        <f t="shared" si="41"/>
        <v>193</v>
      </c>
      <c r="BC233">
        <f t="shared" si="39"/>
        <v>-282.56731878771819</v>
      </c>
      <c r="BD233">
        <f t="shared" si="40"/>
        <v>-65.235805759720847</v>
      </c>
      <c r="BE233">
        <f>Koordinaten!$D$5+BC233</f>
        <v>198.43268121228181</v>
      </c>
      <c r="BF233">
        <f>Koordinaten!$D$6+BD233</f>
        <v>407.76419424027915</v>
      </c>
    </row>
    <row r="234" spans="54:58" x14ac:dyDescent="0.25">
      <c r="BB234">
        <f t="shared" si="41"/>
        <v>194</v>
      </c>
      <c r="BC234">
        <f t="shared" ref="BC234:BC297" si="42">$AT$39/10*COS(PI()/360*BB234*2)</f>
        <v>-281.38576062003898</v>
      </c>
      <c r="BD234">
        <f t="shared" ref="BD234:BD297" si="43">$AT$39/10*SIN(PI()/360*BB234*2)</f>
        <v>-70.157349723903579</v>
      </c>
      <c r="BE234">
        <f>Koordinaten!$D$5+BC234</f>
        <v>199.61423937996102</v>
      </c>
      <c r="BF234">
        <f>Koordinaten!$D$6+BD234</f>
        <v>402.84265027609644</v>
      </c>
    </row>
    <row r="235" spans="54:58" x14ac:dyDescent="0.25">
      <c r="BB235">
        <f t="shared" ref="BB235:BB243" si="44">BB234+1</f>
        <v>195</v>
      </c>
      <c r="BC235">
        <f t="shared" si="42"/>
        <v>-280.11848962382982</v>
      </c>
      <c r="BD235">
        <f t="shared" si="43"/>
        <v>-75.057523079731027</v>
      </c>
      <c r="BE235">
        <f>Koordinaten!$D$5+BC235</f>
        <v>200.88151037617018</v>
      </c>
      <c r="BF235">
        <f>Koordinaten!$D$6+BD235</f>
        <v>397.94247692026897</v>
      </c>
    </row>
    <row r="236" spans="54:58" x14ac:dyDescent="0.25">
      <c r="BB236">
        <f t="shared" si="44"/>
        <v>196</v>
      </c>
      <c r="BC236">
        <f t="shared" si="42"/>
        <v>-278.76589182211251</v>
      </c>
      <c r="BD236">
        <f t="shared" si="43"/>
        <v>-79.934833186929708</v>
      </c>
      <c r="BE236">
        <f>Koordinaten!$D$5+BC236</f>
        <v>202.23410817788749</v>
      </c>
      <c r="BF236">
        <f>Koordinaten!$D$6+BD236</f>
        <v>393.06516681307028</v>
      </c>
    </row>
    <row r="237" spans="54:58" x14ac:dyDescent="0.25">
      <c r="BB237">
        <f t="shared" si="44"/>
        <v>197</v>
      </c>
      <c r="BC237">
        <f t="shared" si="42"/>
        <v>-277.3283792292803</v>
      </c>
      <c r="BD237">
        <f t="shared" si="43"/>
        <v>-84.787794369593669</v>
      </c>
      <c r="BE237">
        <f>Koordinaten!$D$5+BC237</f>
        <v>203.6716207707197</v>
      </c>
      <c r="BF237">
        <f>Koordinaten!$D$6+BD237</f>
        <v>388.21220563040634</v>
      </c>
    </row>
    <row r="238" spans="54:58" x14ac:dyDescent="0.25">
      <c r="BB238">
        <f t="shared" si="44"/>
        <v>198</v>
      </c>
      <c r="BC238">
        <f t="shared" si="42"/>
        <v>-275.80638972559456</v>
      </c>
      <c r="BD238">
        <f t="shared" si="43"/>
        <v>-89.614928368734709</v>
      </c>
      <c r="BE238">
        <f>Koordinaten!$D$5+BC238</f>
        <v>205.19361027440544</v>
      </c>
      <c r="BF238">
        <f>Koordinaten!$D$6+BD238</f>
        <v>383.3850716312653</v>
      </c>
    </row>
    <row r="239" spans="54:58" x14ac:dyDescent="0.25">
      <c r="BB239">
        <f t="shared" si="44"/>
        <v>199</v>
      </c>
      <c r="BC239">
        <f t="shared" si="42"/>
        <v>-274.20038692380183</v>
      </c>
      <c r="BD239">
        <f t="shared" si="43"/>
        <v>-94.414764792575454</v>
      </c>
      <c r="BE239">
        <f>Koordinaten!$D$5+BC239</f>
        <v>206.79961307619817</v>
      </c>
      <c r="BF239">
        <f>Koordinaten!$D$6+BD239</f>
        <v>378.58523520742455</v>
      </c>
    </row>
    <row r="240" spans="54:58" x14ac:dyDescent="0.25">
      <c r="BB240">
        <f t="shared" si="44"/>
        <v>200</v>
      </c>
      <c r="BC240">
        <f t="shared" si="42"/>
        <v>-272.51086002791345</v>
      </c>
      <c r="BD240">
        <f t="shared" si="43"/>
        <v>-99.185841564443905</v>
      </c>
      <c r="BE240">
        <f>Koordinaten!$D$5+BC240</f>
        <v>208.48913997208655</v>
      </c>
      <c r="BF240">
        <f>Koordinaten!$D$6+BD240</f>
        <v>373.81415843555612</v>
      </c>
    </row>
    <row r="241" spans="54:58" x14ac:dyDescent="0.25">
      <c r="BB241">
        <f t="shared" si="44"/>
        <v>201</v>
      </c>
      <c r="BC241">
        <f t="shared" si="42"/>
        <v>-270.73832368418852</v>
      </c>
      <c r="BD241">
        <f t="shared" si="43"/>
        <v>-103.92670536813712</v>
      </c>
      <c r="BE241">
        <f>Koordinaten!$D$5+BC241</f>
        <v>210.26167631581148</v>
      </c>
      <c r="BF241">
        <f>Koordinaten!$D$6+BD241</f>
        <v>369.07329463186289</v>
      </c>
    </row>
    <row r="242" spans="54:58" x14ac:dyDescent="0.25">
      <c r="BB242">
        <f t="shared" si="44"/>
        <v>202</v>
      </c>
      <c r="BC242">
        <f t="shared" si="42"/>
        <v>-268.88331782436836</v>
      </c>
      <c r="BD242">
        <f t="shared" si="43"/>
        <v>-108.63591209061448</v>
      </c>
      <c r="BE242">
        <f>Koordinaten!$D$5+BC242</f>
        <v>212.11668217563164</v>
      </c>
      <c r="BF242">
        <f>Koordinaten!$D$6+BD242</f>
        <v>364.36408790938549</v>
      </c>
    </row>
    <row r="243" spans="54:58" x14ac:dyDescent="0.25">
      <c r="BB243">
        <f t="shared" si="44"/>
        <v>203</v>
      </c>
      <c r="BC243">
        <f t="shared" si="42"/>
        <v>-266.94640750120772</v>
      </c>
      <c r="BD243">
        <f t="shared" si="43"/>
        <v>-113.31202726188933</v>
      </c>
      <c r="BE243">
        <f>Koordinaten!$D$5+BC243</f>
        <v>214.05359249879228</v>
      </c>
      <c r="BF243">
        <f>Koordinaten!$D$6+BD243</f>
        <v>359.68797273811066</v>
      </c>
    </row>
    <row r="244" spans="54:58" x14ac:dyDescent="0.25">
      <c r="BB244">
        <f>BB243+1</f>
        <v>204</v>
      </c>
      <c r="BC244">
        <f t="shared" si="42"/>
        <v>-264.92818271635423</v>
      </c>
      <c r="BD244">
        <f t="shared" si="43"/>
        <v>-117.95362649198206</v>
      </c>
      <c r="BE244">
        <f>Koordinaten!$D$5+BC244</f>
        <v>216.07181728364577</v>
      </c>
      <c r="BF244">
        <f>Koordinaten!$D$6+BD244</f>
        <v>355.04637350801795</v>
      </c>
    </row>
    <row r="245" spans="54:58" x14ac:dyDescent="0.25">
      <c r="BB245">
        <f t="shared" ref="BB245:BB308" si="45">BB244+1</f>
        <v>205</v>
      </c>
      <c r="BC245">
        <f t="shared" si="42"/>
        <v>-262.82925824062852</v>
      </c>
      <c r="BD245">
        <f t="shared" si="43"/>
        <v>-122.5592959048028</v>
      </c>
      <c r="BE245">
        <f>Koordinaten!$D$5+BC245</f>
        <v>218.17074175937148</v>
      </c>
      <c r="BF245">
        <f>Koordinaten!$D$6+BD245</f>
        <v>350.44070409519719</v>
      </c>
    </row>
    <row r="246" spans="54:58" x14ac:dyDescent="0.25">
      <c r="BB246">
        <f t="shared" si="45"/>
        <v>206</v>
      </c>
      <c r="BC246">
        <f t="shared" si="42"/>
        <v>-260.65027342675842</v>
      </c>
      <c r="BD246">
        <f t="shared" si="43"/>
        <v>-127.12763256883247</v>
      </c>
      <c r="BE246">
        <f>Koordinaten!$D$5+BC246</f>
        <v>220.34972657324158</v>
      </c>
      <c r="BF246">
        <f>Koordinaten!$D$6+BD246</f>
        <v>345.8723674311675</v>
      </c>
    </row>
    <row r="247" spans="54:58" x14ac:dyDescent="0.25">
      <c r="BB247">
        <f t="shared" si="45"/>
        <v>207</v>
      </c>
      <c r="BC247">
        <f t="shared" si="42"/>
        <v>-258.39189201462671</v>
      </c>
      <c r="BD247">
        <f t="shared" si="43"/>
        <v>-131.65724492446853</v>
      </c>
      <c r="BE247">
        <f>Koordinaten!$D$5+BC247</f>
        <v>222.60810798537329</v>
      </c>
      <c r="BF247">
        <f>Koordinaten!$D$6+BD247</f>
        <v>341.3427550755315</v>
      </c>
    </row>
    <row r="248" spans="54:58" x14ac:dyDescent="0.25">
      <c r="BB248">
        <f t="shared" si="45"/>
        <v>208</v>
      </c>
      <c r="BC248">
        <f t="shared" si="42"/>
        <v>-256.0548019290888</v>
      </c>
      <c r="BD248">
        <f t="shared" si="43"/>
        <v>-136.14675320790835</v>
      </c>
      <c r="BE248">
        <f>Koordinaten!$D$5+BC248</f>
        <v>224.9451980709112</v>
      </c>
      <c r="BF248">
        <f>Koordinaten!$D$6+BD248</f>
        <v>336.85324679209168</v>
      </c>
    </row>
    <row r="249" spans="54:58" x14ac:dyDescent="0.25">
      <c r="BB249">
        <f t="shared" si="45"/>
        <v>209</v>
      </c>
      <c r="BC249">
        <f t="shared" si="42"/>
        <v>-253.63971507042478</v>
      </c>
      <c r="BD249">
        <f t="shared" si="43"/>
        <v>-140.59478987143771</v>
      </c>
      <c r="BE249">
        <f>Koordinaten!$D$5+BC249</f>
        <v>227.36028492957522</v>
      </c>
      <c r="BF249">
        <f>Koordinaten!$D$6+BD249</f>
        <v>332.40521012856232</v>
      </c>
    </row>
    <row r="250" spans="54:58" x14ac:dyDescent="0.25">
      <c r="BB250">
        <f t="shared" si="45"/>
        <v>210</v>
      </c>
      <c r="BC250">
        <f t="shared" si="42"/>
        <v>-251.14736709748721</v>
      </c>
      <c r="BD250">
        <f t="shared" si="43"/>
        <v>-145.00000000000003</v>
      </c>
      <c r="BE250">
        <f>Koordinaten!$D$5+BC250</f>
        <v>229.85263290251279</v>
      </c>
      <c r="BF250">
        <f>Koordinaten!$D$6+BD250</f>
        <v>328</v>
      </c>
    </row>
    <row r="251" spans="54:58" x14ac:dyDescent="0.25">
      <c r="BB251">
        <f t="shared" si="45"/>
        <v>211</v>
      </c>
      <c r="BC251">
        <f t="shared" si="42"/>
        <v>-248.57851720361256</v>
      </c>
      <c r="BD251">
        <f t="shared" si="43"/>
        <v>-149.36104172391572</v>
      </c>
      <c r="BE251">
        <f>Koordinaten!$D$5+BC251</f>
        <v>232.42148279638744</v>
      </c>
      <c r="BF251">
        <f>Koordinaten!$D$6+BD251</f>
        <v>323.63895827608428</v>
      </c>
    </row>
    <row r="252" spans="54:58" x14ac:dyDescent="0.25">
      <c r="BB252">
        <f t="shared" si="45"/>
        <v>212</v>
      </c>
      <c r="BC252">
        <f t="shared" si="42"/>
        <v>-245.93394788536355</v>
      </c>
      <c r="BD252">
        <f t="shared" si="43"/>
        <v>-153.67658662762938</v>
      </c>
      <c r="BE252">
        <f>Koordinaten!$D$5+BC252</f>
        <v>235.06605211463645</v>
      </c>
      <c r="BF252">
        <f>Koordinaten!$D$6+BD252</f>
        <v>319.32341337237062</v>
      </c>
    </row>
    <row r="253" spans="54:58" x14ac:dyDescent="0.25">
      <c r="BB253">
        <f t="shared" si="45"/>
        <v>213</v>
      </c>
      <c r="BC253">
        <f t="shared" si="42"/>
        <v>-243.21446470417297</v>
      </c>
      <c r="BD253">
        <f t="shared" si="43"/>
        <v>-157.94532015435786</v>
      </c>
      <c r="BE253">
        <f>Koordinaten!$D$5+BC253</f>
        <v>237.78553529582703</v>
      </c>
      <c r="BF253">
        <f>Koordinaten!$D$6+BD253</f>
        <v>315.05467984564211</v>
      </c>
    </row>
    <row r="254" spans="54:58" x14ac:dyDescent="0.25">
      <c r="BB254">
        <f t="shared" si="45"/>
        <v>214</v>
      </c>
      <c r="BC254">
        <f t="shared" si="42"/>
        <v>-240.42089604096213</v>
      </c>
      <c r="BD254">
        <f t="shared" si="43"/>
        <v>-162.16594200651653</v>
      </c>
      <c r="BE254">
        <f>Koordinaten!$D$5+BC254</f>
        <v>240.57910395903787</v>
      </c>
      <c r="BF254">
        <f>Koordinaten!$D$6+BD254</f>
        <v>310.8340579934835</v>
      </c>
    </row>
    <row r="255" spans="54:58" x14ac:dyDescent="0.25">
      <c r="BB255">
        <f t="shared" si="45"/>
        <v>215</v>
      </c>
      <c r="BC255">
        <f t="shared" si="42"/>
        <v>-237.55409284380761</v>
      </c>
      <c r="BD255">
        <f t="shared" si="43"/>
        <v>-166.33716654180338</v>
      </c>
      <c r="BE255">
        <f>Koordinaten!$D$5+BC255</f>
        <v>243.44590715619239</v>
      </c>
      <c r="BF255">
        <f>Koordinaten!$D$6+BD255</f>
        <v>306.66283345819659</v>
      </c>
    </row>
    <row r="256" spans="54:58" x14ac:dyDescent="0.25">
      <c r="BB256">
        <f t="shared" si="45"/>
        <v>216</v>
      </c>
      <c r="BC256">
        <f t="shared" si="42"/>
        <v>-234.61492836873478</v>
      </c>
      <c r="BD256">
        <f t="shared" si="43"/>
        <v>-170.45772316481717</v>
      </c>
      <c r="BE256">
        <f>Koordinaten!$D$5+BC256</f>
        <v>246.38507163126522</v>
      </c>
      <c r="BF256">
        <f>Koordinaten!$D$6+BD256</f>
        <v>302.54227683518286</v>
      </c>
    </row>
    <row r="257" spans="54:58" x14ac:dyDescent="0.25">
      <c r="BB257">
        <f t="shared" si="45"/>
        <v>217</v>
      </c>
      <c r="BC257">
        <f t="shared" si="42"/>
        <v>-231.60429791371493</v>
      </c>
      <c r="BD257">
        <f t="shared" si="43"/>
        <v>-174.52635671409402</v>
      </c>
      <c r="BE257">
        <f>Koordinaten!$D$5+BC257</f>
        <v>249.39570208628507</v>
      </c>
      <c r="BF257">
        <f>Koordinaten!$D$6+BD257</f>
        <v>298.47364328590595</v>
      </c>
    </row>
    <row r="258" spans="54:58" x14ac:dyDescent="0.25">
      <c r="BB258">
        <f t="shared" si="45"/>
        <v>218</v>
      </c>
      <c r="BC258">
        <f t="shared" si="42"/>
        <v>-228.52311854594939</v>
      </c>
      <c r="BD258">
        <f t="shared" si="43"/>
        <v>-178.54182784444086</v>
      </c>
      <c r="BE258">
        <f>Koordinaten!$D$5+BC258</f>
        <v>252.47688145405061</v>
      </c>
      <c r="BF258">
        <f>Koordinaten!$D$6+BD258</f>
        <v>294.45817215555917</v>
      </c>
    </row>
    <row r="259" spans="54:58" x14ac:dyDescent="0.25">
      <c r="BB259">
        <f t="shared" si="45"/>
        <v>219</v>
      </c>
      <c r="BC259">
        <f t="shared" si="42"/>
        <v>-225.37232882252152</v>
      </c>
      <c r="BD259">
        <f t="shared" si="43"/>
        <v>-182.5029134044529</v>
      </c>
      <c r="BE259">
        <f>Koordinaten!$D$5+BC259</f>
        <v>255.62767117747848</v>
      </c>
      <c r="BF259">
        <f>Koordinaten!$D$6+BD259</f>
        <v>290.4970865955471</v>
      </c>
    </row>
    <row r="260" spans="54:58" x14ac:dyDescent="0.25">
      <c r="BB260">
        <f t="shared" si="45"/>
        <v>220</v>
      </c>
      <c r="BC260">
        <f t="shared" si="42"/>
        <v>-222.15288850450364</v>
      </c>
      <c r="BD260">
        <f t="shared" si="43"/>
        <v>-186.40840680909639</v>
      </c>
      <c r="BE260">
        <f>Koordinaten!$D$5+BC260</f>
        <v>258.84711149549639</v>
      </c>
      <c r="BF260">
        <f>Koordinaten!$D$6+BD260</f>
        <v>286.59159319090361</v>
      </c>
    </row>
    <row r="261" spans="54:58" x14ac:dyDescent="0.25">
      <c r="BB261">
        <f t="shared" si="45"/>
        <v>221</v>
      </c>
      <c r="BC261">
        <f t="shared" si="42"/>
        <v>-218.8657782646039</v>
      </c>
      <c r="BD261">
        <f t="shared" si="43"/>
        <v>-190.25711840724705</v>
      </c>
      <c r="BE261">
        <f>Koordinaten!$D$5+BC261</f>
        <v>262.13422173539607</v>
      </c>
      <c r="BF261">
        <f>Koordinaten!$D$6+BD261</f>
        <v>282.74288159275295</v>
      </c>
    </row>
    <row r="262" spans="54:58" x14ac:dyDescent="0.25">
      <c r="BB262">
        <f t="shared" si="45"/>
        <v>222</v>
      </c>
      <c r="BC262">
        <f t="shared" si="42"/>
        <v>-215.51199938844434</v>
      </c>
      <c r="BD262">
        <f t="shared" si="43"/>
        <v>-194.0478758440689</v>
      </c>
      <c r="BE262">
        <f>Koordinaten!$D$5+BC262</f>
        <v>265.48800061155566</v>
      </c>
      <c r="BF262">
        <f>Koordinaten!$D$6+BD262</f>
        <v>278.95212415593107</v>
      </c>
    </row>
    <row r="263" spans="54:58" x14ac:dyDescent="0.25">
      <c r="BB263">
        <f t="shared" si="45"/>
        <v>223</v>
      </c>
      <c r="BC263">
        <f t="shared" si="42"/>
        <v>-212.09257346955945</v>
      </c>
      <c r="BD263">
        <f t="shared" si="43"/>
        <v>-197.77952441812454</v>
      </c>
      <c r="BE263">
        <f>Koordinaten!$D$5+BC263</f>
        <v>268.90742653044055</v>
      </c>
      <c r="BF263">
        <f>Koordinaten!$D$6+BD263</f>
        <v>275.22047558187546</v>
      </c>
    </row>
    <row r="264" spans="54:58" x14ac:dyDescent="0.25">
      <c r="BB264">
        <f t="shared" si="45"/>
        <v>224</v>
      </c>
      <c r="BC264">
        <f t="shared" si="42"/>
        <v>-208.6085420982088</v>
      </c>
      <c r="BD264">
        <f t="shared" si="43"/>
        <v>-201.45092743310923</v>
      </c>
      <c r="BE264">
        <f>Koordinaten!$D$5+BC264</f>
        <v>272.39145790179123</v>
      </c>
      <c r="BF264">
        <f>Koordinaten!$D$6+BD264</f>
        <v>271.5490725668908</v>
      </c>
    </row>
    <row r="265" spans="54:58" x14ac:dyDescent="0.25">
      <c r="BB265">
        <f t="shared" si="45"/>
        <v>225</v>
      </c>
      <c r="BC265">
        <f t="shared" si="42"/>
        <v>-205.06096654409882</v>
      </c>
      <c r="BD265">
        <f t="shared" si="43"/>
        <v>-205.06096654409876</v>
      </c>
      <c r="BE265">
        <f>Koordinaten!$D$5+BC265</f>
        <v>275.93903345590115</v>
      </c>
      <c r="BF265">
        <f>Koordinaten!$D$6+BD265</f>
        <v>267.93903345590127</v>
      </c>
    </row>
    <row r="266" spans="54:58" x14ac:dyDescent="0.25">
      <c r="BB266">
        <f t="shared" si="45"/>
        <v>226</v>
      </c>
      <c r="BC266">
        <f t="shared" si="42"/>
        <v>-201.4509274331092</v>
      </c>
      <c r="BD266">
        <f t="shared" si="43"/>
        <v>-208.60854209820886</v>
      </c>
      <c r="BE266">
        <f>Koordinaten!$D$5+BC266</f>
        <v>279.5490725668908</v>
      </c>
      <c r="BF266">
        <f>Koordinaten!$D$6+BD266</f>
        <v>264.39145790179111</v>
      </c>
    </row>
    <row r="267" spans="54:58" x14ac:dyDescent="0.25">
      <c r="BB267">
        <f t="shared" si="45"/>
        <v>227</v>
      </c>
      <c r="BC267">
        <f t="shared" si="42"/>
        <v>-197.77952441812459</v>
      </c>
      <c r="BD267">
        <f t="shared" si="43"/>
        <v>-212.09257346955943</v>
      </c>
      <c r="BE267">
        <f>Koordinaten!$D$5+BC267</f>
        <v>283.22047558187541</v>
      </c>
      <c r="BF267">
        <f>Koordinaten!$D$6+BD267</f>
        <v>260.9074265304406</v>
      </c>
    </row>
    <row r="268" spans="54:58" x14ac:dyDescent="0.25">
      <c r="BB268">
        <f t="shared" si="45"/>
        <v>228</v>
      </c>
      <c r="BC268">
        <f t="shared" si="42"/>
        <v>-194.04787584406887</v>
      </c>
      <c r="BD268">
        <f t="shared" si="43"/>
        <v>-215.51199938844437</v>
      </c>
      <c r="BE268">
        <f>Koordinaten!$D$5+BC268</f>
        <v>286.95212415593113</v>
      </c>
      <c r="BF268">
        <f>Koordinaten!$D$6+BD268</f>
        <v>257.48800061155566</v>
      </c>
    </row>
    <row r="269" spans="54:58" x14ac:dyDescent="0.25">
      <c r="BB269">
        <f t="shared" si="45"/>
        <v>229</v>
      </c>
      <c r="BC269">
        <f t="shared" si="42"/>
        <v>-190.25711840724711</v>
      </c>
      <c r="BD269">
        <f t="shared" si="43"/>
        <v>-218.86577826460388</v>
      </c>
      <c r="BE269">
        <f>Koordinaten!$D$5+BC269</f>
        <v>290.74288159275289</v>
      </c>
      <c r="BF269">
        <f>Koordinaten!$D$6+BD269</f>
        <v>254.13422173539612</v>
      </c>
    </row>
    <row r="270" spans="54:58" x14ac:dyDescent="0.25">
      <c r="BB270">
        <f t="shared" si="45"/>
        <v>230</v>
      </c>
      <c r="BC270">
        <f t="shared" si="42"/>
        <v>-186.40840680909645</v>
      </c>
      <c r="BD270">
        <f t="shared" si="43"/>
        <v>-222.15288850450358</v>
      </c>
      <c r="BE270">
        <f>Koordinaten!$D$5+BC270</f>
        <v>294.59159319090355</v>
      </c>
      <c r="BF270">
        <f>Koordinaten!$D$6+BD270</f>
        <v>250.84711149549642</v>
      </c>
    </row>
    <row r="271" spans="54:58" x14ac:dyDescent="0.25">
      <c r="BB271">
        <f t="shared" si="45"/>
        <v>231</v>
      </c>
      <c r="BC271">
        <f t="shared" si="42"/>
        <v>-182.50291340445298</v>
      </c>
      <c r="BD271">
        <f t="shared" si="43"/>
        <v>-225.37232882252147</v>
      </c>
      <c r="BE271">
        <f>Koordinaten!$D$5+BC271</f>
        <v>298.49708659554699</v>
      </c>
      <c r="BF271">
        <f>Koordinaten!$D$6+BD271</f>
        <v>247.62767117747853</v>
      </c>
    </row>
    <row r="272" spans="54:58" x14ac:dyDescent="0.25">
      <c r="BB272">
        <f t="shared" si="45"/>
        <v>232</v>
      </c>
      <c r="BC272">
        <f t="shared" si="42"/>
        <v>-178.54182784444083</v>
      </c>
      <c r="BD272">
        <f t="shared" si="43"/>
        <v>-228.52311854594942</v>
      </c>
      <c r="BE272">
        <f>Koordinaten!$D$5+BC272</f>
        <v>302.45817215555917</v>
      </c>
      <c r="BF272">
        <f>Koordinaten!$D$6+BD272</f>
        <v>244.47688145405058</v>
      </c>
    </row>
    <row r="273" spans="54:58" x14ac:dyDescent="0.25">
      <c r="BB273">
        <f t="shared" si="45"/>
        <v>233</v>
      </c>
      <c r="BC273">
        <f t="shared" si="42"/>
        <v>-174.52635671409399</v>
      </c>
      <c r="BD273">
        <f t="shared" si="43"/>
        <v>-231.60429791371493</v>
      </c>
      <c r="BE273">
        <f>Koordinaten!$D$5+BC273</f>
        <v>306.47364328590601</v>
      </c>
      <c r="BF273">
        <f>Koordinaten!$D$6+BD273</f>
        <v>241.39570208628507</v>
      </c>
    </row>
    <row r="274" spans="54:58" x14ac:dyDescent="0.25">
      <c r="BB274">
        <f t="shared" si="45"/>
        <v>234</v>
      </c>
      <c r="BC274">
        <f t="shared" si="42"/>
        <v>-170.45772316481725</v>
      </c>
      <c r="BD274">
        <f t="shared" si="43"/>
        <v>-234.61492836873472</v>
      </c>
      <c r="BE274">
        <f>Koordinaten!$D$5+BC274</f>
        <v>310.54227683518275</v>
      </c>
      <c r="BF274">
        <f>Koordinaten!$D$6+BD274</f>
        <v>238.38507163126528</v>
      </c>
    </row>
    <row r="275" spans="54:58" x14ac:dyDescent="0.25">
      <c r="BB275">
        <f t="shared" si="45"/>
        <v>235</v>
      </c>
      <c r="BC275">
        <f t="shared" si="42"/>
        <v>-166.33716654180344</v>
      </c>
      <c r="BD275">
        <f t="shared" si="43"/>
        <v>-237.55409284380755</v>
      </c>
      <c r="BE275">
        <f>Koordinaten!$D$5+BC275</f>
        <v>314.66283345819659</v>
      </c>
      <c r="BF275">
        <f>Koordinaten!$D$6+BD275</f>
        <v>235.44590715619245</v>
      </c>
    </row>
    <row r="276" spans="54:58" x14ac:dyDescent="0.25">
      <c r="BB276">
        <f t="shared" si="45"/>
        <v>236</v>
      </c>
      <c r="BC276">
        <f t="shared" si="42"/>
        <v>-162.1659420065165</v>
      </c>
      <c r="BD276">
        <f t="shared" si="43"/>
        <v>-240.42089604096213</v>
      </c>
      <c r="BE276">
        <f>Koordinaten!$D$5+BC276</f>
        <v>318.8340579934835</v>
      </c>
      <c r="BF276">
        <f>Koordinaten!$D$6+BD276</f>
        <v>232.57910395903787</v>
      </c>
    </row>
    <row r="277" spans="54:58" x14ac:dyDescent="0.25">
      <c r="BB277">
        <f t="shared" si="45"/>
        <v>237</v>
      </c>
      <c r="BC277">
        <f t="shared" si="42"/>
        <v>-157.94532015435783</v>
      </c>
      <c r="BD277">
        <f t="shared" si="43"/>
        <v>-243.21446470417297</v>
      </c>
      <c r="BE277">
        <f>Koordinaten!$D$5+BC277</f>
        <v>323.05467984564217</v>
      </c>
      <c r="BF277">
        <f>Koordinaten!$D$6+BD277</f>
        <v>229.78553529582703</v>
      </c>
    </row>
    <row r="278" spans="54:58" x14ac:dyDescent="0.25">
      <c r="BB278">
        <f t="shared" si="45"/>
        <v>238</v>
      </c>
      <c r="BC278">
        <f t="shared" si="42"/>
        <v>-153.67658662762946</v>
      </c>
      <c r="BD278">
        <f t="shared" si="43"/>
        <v>-245.93394788536352</v>
      </c>
      <c r="BE278">
        <f>Koordinaten!$D$5+BC278</f>
        <v>327.32341337237051</v>
      </c>
      <c r="BF278">
        <f>Koordinaten!$D$6+BD278</f>
        <v>227.06605211463648</v>
      </c>
    </row>
    <row r="279" spans="54:58" x14ac:dyDescent="0.25">
      <c r="BB279">
        <f t="shared" si="45"/>
        <v>239</v>
      </c>
      <c r="BC279">
        <f t="shared" si="42"/>
        <v>-149.3610417239158</v>
      </c>
      <c r="BD279">
        <f t="shared" si="43"/>
        <v>-248.57851720361251</v>
      </c>
      <c r="BE279">
        <f>Koordinaten!$D$5+BC279</f>
        <v>331.63895827608417</v>
      </c>
      <c r="BF279">
        <f>Koordinaten!$D$6+BD279</f>
        <v>224.42148279638749</v>
      </c>
    </row>
    <row r="280" spans="54:58" x14ac:dyDescent="0.25">
      <c r="BB280">
        <f t="shared" si="45"/>
        <v>240</v>
      </c>
      <c r="BC280">
        <f t="shared" si="42"/>
        <v>-145.00000000000014</v>
      </c>
      <c r="BD280">
        <f t="shared" si="43"/>
        <v>-251.14736709748712</v>
      </c>
      <c r="BE280">
        <f>Koordinaten!$D$5+BC280</f>
        <v>335.99999999999989</v>
      </c>
      <c r="BF280">
        <f>Koordinaten!$D$6+BD280</f>
        <v>221.85263290251288</v>
      </c>
    </row>
    <row r="281" spans="54:58" x14ac:dyDescent="0.25">
      <c r="BB281">
        <f t="shared" si="45"/>
        <v>241</v>
      </c>
      <c r="BC281">
        <f t="shared" si="42"/>
        <v>-140.59478987143768</v>
      </c>
      <c r="BD281">
        <f t="shared" si="43"/>
        <v>-253.63971507042484</v>
      </c>
      <c r="BE281">
        <f>Koordinaten!$D$5+BC281</f>
        <v>340.40521012856232</v>
      </c>
      <c r="BF281">
        <f>Koordinaten!$D$6+BD281</f>
        <v>219.36028492957516</v>
      </c>
    </row>
    <row r="282" spans="54:58" x14ac:dyDescent="0.25">
      <c r="BB282">
        <f t="shared" si="45"/>
        <v>242</v>
      </c>
      <c r="BC282">
        <f t="shared" si="42"/>
        <v>-136.14675320790832</v>
      </c>
      <c r="BD282">
        <f t="shared" si="43"/>
        <v>-256.05480192908885</v>
      </c>
      <c r="BE282">
        <f>Koordinaten!$D$5+BC282</f>
        <v>344.85324679209168</v>
      </c>
      <c r="BF282">
        <f>Koordinaten!$D$6+BD282</f>
        <v>216.94519807091115</v>
      </c>
    </row>
    <row r="283" spans="54:58" x14ac:dyDescent="0.25">
      <c r="BB283">
        <f t="shared" si="45"/>
        <v>243</v>
      </c>
      <c r="BC283">
        <f t="shared" si="42"/>
        <v>-131.65724492446861</v>
      </c>
      <c r="BD283">
        <f t="shared" si="43"/>
        <v>-258.39189201462665</v>
      </c>
      <c r="BE283">
        <f>Koordinaten!$D$5+BC283</f>
        <v>349.34275507553139</v>
      </c>
      <c r="BF283">
        <f>Koordinaten!$D$6+BD283</f>
        <v>214.60810798537335</v>
      </c>
    </row>
    <row r="284" spans="54:58" x14ac:dyDescent="0.25">
      <c r="BB284">
        <f t="shared" si="45"/>
        <v>244</v>
      </c>
      <c r="BC284">
        <f t="shared" si="42"/>
        <v>-127.12763256883254</v>
      </c>
      <c r="BD284">
        <f t="shared" si="43"/>
        <v>-260.65027342675836</v>
      </c>
      <c r="BE284">
        <f>Koordinaten!$D$5+BC284</f>
        <v>353.87236743116745</v>
      </c>
      <c r="BF284">
        <f>Koordinaten!$D$6+BD284</f>
        <v>212.34972657324164</v>
      </c>
    </row>
    <row r="285" spans="54:58" x14ac:dyDescent="0.25">
      <c r="BB285">
        <f t="shared" si="45"/>
        <v>245</v>
      </c>
      <c r="BC285">
        <f t="shared" si="42"/>
        <v>-122.55929590480275</v>
      </c>
      <c r="BD285">
        <f t="shared" si="43"/>
        <v>-262.82925824062852</v>
      </c>
      <c r="BE285">
        <f>Koordinaten!$D$5+BC285</f>
        <v>358.44070409519725</v>
      </c>
      <c r="BF285">
        <f>Koordinaten!$D$6+BD285</f>
        <v>210.17074175937148</v>
      </c>
    </row>
    <row r="286" spans="54:58" x14ac:dyDescent="0.25">
      <c r="BB286">
        <f t="shared" si="45"/>
        <v>246</v>
      </c>
      <c r="BC286">
        <f t="shared" si="42"/>
        <v>-117.95362649198202</v>
      </c>
      <c r="BD286">
        <f t="shared" si="43"/>
        <v>-264.92818271635429</v>
      </c>
      <c r="BE286">
        <f>Koordinaten!$D$5+BC286</f>
        <v>363.04637350801795</v>
      </c>
      <c r="BF286">
        <f>Koordinaten!$D$6+BD286</f>
        <v>208.07181728364571</v>
      </c>
    </row>
    <row r="287" spans="54:58" x14ac:dyDescent="0.25">
      <c r="BB287">
        <f t="shared" si="45"/>
        <v>247</v>
      </c>
      <c r="BC287">
        <f t="shared" si="42"/>
        <v>-113.31202726188941</v>
      </c>
      <c r="BD287">
        <f t="shared" si="43"/>
        <v>-266.94640750120766</v>
      </c>
      <c r="BE287">
        <f>Koordinaten!$D$5+BC287</f>
        <v>367.6879727381106</v>
      </c>
      <c r="BF287">
        <f>Koordinaten!$D$6+BD287</f>
        <v>206.05359249879234</v>
      </c>
    </row>
    <row r="288" spans="54:58" x14ac:dyDescent="0.25">
      <c r="BB288">
        <f t="shared" si="45"/>
        <v>248</v>
      </c>
      <c r="BC288">
        <f t="shared" si="42"/>
        <v>-108.63591209061457</v>
      </c>
      <c r="BD288">
        <f t="shared" si="43"/>
        <v>-268.88331782436831</v>
      </c>
      <c r="BE288">
        <f>Koordinaten!$D$5+BC288</f>
        <v>372.36408790938543</v>
      </c>
      <c r="BF288">
        <f>Koordinaten!$D$6+BD288</f>
        <v>204.11668217563169</v>
      </c>
    </row>
    <row r="289" spans="54:58" x14ac:dyDescent="0.25">
      <c r="BB289">
        <f t="shared" si="45"/>
        <v>249</v>
      </c>
      <c r="BC289">
        <f t="shared" si="42"/>
        <v>-103.92670536813721</v>
      </c>
      <c r="BD289">
        <f t="shared" si="43"/>
        <v>-270.73832368418846</v>
      </c>
      <c r="BE289">
        <f>Koordinaten!$D$5+BC289</f>
        <v>377.07329463186278</v>
      </c>
      <c r="BF289">
        <f>Koordinaten!$D$6+BD289</f>
        <v>202.26167631581154</v>
      </c>
    </row>
    <row r="290" spans="54:58" x14ac:dyDescent="0.25">
      <c r="BB290">
        <f t="shared" si="45"/>
        <v>250</v>
      </c>
      <c r="BC290">
        <f t="shared" si="42"/>
        <v>-99.185841564443876</v>
      </c>
      <c r="BD290">
        <f t="shared" si="43"/>
        <v>-272.51086002791345</v>
      </c>
      <c r="BE290">
        <f>Koordinaten!$D$5+BC290</f>
        <v>381.81415843555612</v>
      </c>
      <c r="BF290">
        <f>Koordinaten!$D$6+BD290</f>
        <v>200.48913997208655</v>
      </c>
    </row>
    <row r="291" spans="54:58" x14ac:dyDescent="0.25">
      <c r="BB291">
        <f t="shared" si="45"/>
        <v>251</v>
      </c>
      <c r="BC291">
        <f t="shared" si="42"/>
        <v>-94.414764792575426</v>
      </c>
      <c r="BD291">
        <f t="shared" si="43"/>
        <v>-274.20038692380189</v>
      </c>
      <c r="BE291">
        <f>Koordinaten!$D$5+BC291</f>
        <v>386.5852352074246</v>
      </c>
      <c r="BF291">
        <f>Koordinaten!$D$6+BD291</f>
        <v>198.79961307619811</v>
      </c>
    </row>
    <row r="292" spans="54:58" x14ac:dyDescent="0.25">
      <c r="BB292">
        <f t="shared" si="45"/>
        <v>252</v>
      </c>
      <c r="BC292">
        <f t="shared" si="42"/>
        <v>-89.614928368734795</v>
      </c>
      <c r="BD292">
        <f t="shared" si="43"/>
        <v>-275.8063897255945</v>
      </c>
      <c r="BE292">
        <f>Koordinaten!$D$5+BC292</f>
        <v>391.38507163126519</v>
      </c>
      <c r="BF292">
        <f>Koordinaten!$D$6+BD292</f>
        <v>197.1936102744055</v>
      </c>
    </row>
    <row r="293" spans="54:58" x14ac:dyDescent="0.25">
      <c r="BB293">
        <f t="shared" si="45"/>
        <v>253</v>
      </c>
      <c r="BC293">
        <f t="shared" si="42"/>
        <v>-84.787794369593755</v>
      </c>
      <c r="BD293">
        <f t="shared" si="43"/>
        <v>-277.32837922928024</v>
      </c>
      <c r="BE293">
        <f>Koordinaten!$D$5+BC293</f>
        <v>396.21220563040623</v>
      </c>
      <c r="BF293">
        <f>Koordinaten!$D$6+BD293</f>
        <v>195.67162077071976</v>
      </c>
    </row>
    <row r="294" spans="54:58" x14ac:dyDescent="0.25">
      <c r="BB294">
        <f t="shared" si="45"/>
        <v>254</v>
      </c>
      <c r="BC294">
        <f t="shared" si="42"/>
        <v>-79.93483318692968</v>
      </c>
      <c r="BD294">
        <f t="shared" si="43"/>
        <v>-278.76589182211251</v>
      </c>
      <c r="BE294">
        <f>Koordinaten!$D$5+BC294</f>
        <v>401.06516681307033</v>
      </c>
      <c r="BF294">
        <f>Koordinaten!$D$6+BD294</f>
        <v>194.23410817788749</v>
      </c>
    </row>
    <row r="295" spans="54:58" x14ac:dyDescent="0.25">
      <c r="BB295">
        <f t="shared" si="45"/>
        <v>255</v>
      </c>
      <c r="BC295">
        <f t="shared" si="42"/>
        <v>-75.057523079730984</v>
      </c>
      <c r="BD295">
        <f t="shared" si="43"/>
        <v>-280.11848962382982</v>
      </c>
      <c r="BE295">
        <f>Koordinaten!$D$5+BC295</f>
        <v>405.94247692026903</v>
      </c>
      <c r="BF295">
        <f>Koordinaten!$D$6+BD295</f>
        <v>192.88151037617018</v>
      </c>
    </row>
    <row r="296" spans="54:58" x14ac:dyDescent="0.25">
      <c r="BB296">
        <f t="shared" si="45"/>
        <v>256</v>
      </c>
      <c r="BC296">
        <f t="shared" si="42"/>
        <v>-70.157349723903664</v>
      </c>
      <c r="BD296">
        <f t="shared" si="43"/>
        <v>-281.38576062003898</v>
      </c>
      <c r="BE296">
        <f>Koordinaten!$D$5+BC296</f>
        <v>410.84265027609632</v>
      </c>
      <c r="BF296">
        <f>Koordinaten!$D$6+BD296</f>
        <v>191.61423937996102</v>
      </c>
    </row>
    <row r="297" spans="54:58" x14ac:dyDescent="0.25">
      <c r="BB297">
        <f t="shared" si="45"/>
        <v>257</v>
      </c>
      <c r="BC297">
        <f t="shared" si="42"/>
        <v>-65.235805759720918</v>
      </c>
      <c r="BD297">
        <f t="shared" si="43"/>
        <v>-282.56731878771819</v>
      </c>
      <c r="BE297">
        <f>Koordinaten!$D$5+BC297</f>
        <v>415.7641942402791</v>
      </c>
      <c r="BF297">
        <f>Koordinaten!$D$6+BD297</f>
        <v>190.43268121228181</v>
      </c>
    </row>
    <row r="298" spans="54:58" x14ac:dyDescent="0.25">
      <c r="BB298">
        <f t="shared" si="45"/>
        <v>258</v>
      </c>
      <c r="BC298">
        <f t="shared" ref="BC298:BC361" si="46">$AT$39/10*COS(PI()/360*BB298*2)</f>
        <v>-60.29439033715034</v>
      </c>
      <c r="BD298">
        <f t="shared" ref="BD298:BD361" si="47">$AT$39/10*SIN(PI()/360*BB298*2)</f>
        <v>-283.66280421280362</v>
      </c>
      <c r="BE298">
        <f>Koordinaten!$D$5+BC298</f>
        <v>420.70560966284967</v>
      </c>
      <c r="BF298">
        <f>Koordinaten!$D$6+BD298</f>
        <v>189.33719578719638</v>
      </c>
    </row>
    <row r="299" spans="54:58" x14ac:dyDescent="0.25">
      <c r="BB299">
        <f t="shared" si="45"/>
        <v>259</v>
      </c>
      <c r="BC299">
        <f t="shared" si="46"/>
        <v>-55.33460865919794</v>
      </c>
      <c r="BD299">
        <f t="shared" si="47"/>
        <v>-284.67188319982256</v>
      </c>
      <c r="BE299">
        <f>Koordinaten!$D$5+BC299</f>
        <v>425.66539134080205</v>
      </c>
      <c r="BF299">
        <f>Koordinaten!$D$6+BD299</f>
        <v>188.32811680017744</v>
      </c>
    </row>
    <row r="300" spans="54:58" x14ac:dyDescent="0.25">
      <c r="BB300">
        <f t="shared" si="45"/>
        <v>260</v>
      </c>
      <c r="BC300">
        <f t="shared" si="46"/>
        <v>-50.357971523409795</v>
      </c>
      <c r="BD300">
        <f t="shared" si="47"/>
        <v>-285.59424837354032</v>
      </c>
      <c r="BE300">
        <f>Koordinaten!$D$5+BC300</f>
        <v>430.64202847659021</v>
      </c>
      <c r="BF300">
        <f>Koordinaten!$D$6+BD300</f>
        <v>187.40575162645968</v>
      </c>
    </row>
    <row r="301" spans="54:58" x14ac:dyDescent="0.25">
      <c r="BB301">
        <f t="shared" si="45"/>
        <v>261</v>
      </c>
      <c r="BC301">
        <f t="shared" si="46"/>
        <v>-45.365994861666998</v>
      </c>
      <c r="BD301">
        <f t="shared" si="47"/>
        <v>-286.42961877258995</v>
      </c>
      <c r="BE301">
        <f>Koordinaten!$D$5+BC301</f>
        <v>435.63400513833301</v>
      </c>
      <c r="BF301">
        <f>Koordinaten!$D$6+BD301</f>
        <v>186.57038122741005</v>
      </c>
    </row>
    <row r="302" spans="54:58" x14ac:dyDescent="0.25">
      <c r="BB302">
        <f t="shared" si="45"/>
        <v>262</v>
      </c>
      <c r="BC302">
        <f t="shared" si="46"/>
        <v>-40.360199278419088</v>
      </c>
      <c r="BD302">
        <f t="shared" si="47"/>
        <v>-287.1777399350554</v>
      </c>
      <c r="BE302">
        <f>Koordinaten!$D$5+BC302</f>
        <v>440.63980072158091</v>
      </c>
      <c r="BF302">
        <f>Koordinaten!$D$6+BD302</f>
        <v>185.8222600649446</v>
      </c>
    </row>
    <row r="303" spans="54:58" x14ac:dyDescent="0.25">
      <c r="BB303">
        <f t="shared" si="45"/>
        <v>263</v>
      </c>
      <c r="BC303">
        <f t="shared" si="46"/>
        <v>-35.342109587492679</v>
      </c>
      <c r="BD303">
        <f t="shared" si="47"/>
        <v>-287.83838397598339</v>
      </c>
      <c r="BE303">
        <f>Koordinaten!$D$5+BC303</f>
        <v>445.6578904125073</v>
      </c>
      <c r="BF303">
        <f>Koordinaten!$D$6+BD303</f>
        <v>185.16161602401661</v>
      </c>
    </row>
    <row r="304" spans="54:58" x14ac:dyDescent="0.25">
      <c r="BB304">
        <f t="shared" si="45"/>
        <v>264</v>
      </c>
      <c r="BC304">
        <f t="shared" si="46"/>
        <v>-30.313254347619473</v>
      </c>
      <c r="BD304">
        <f t="shared" si="47"/>
        <v>-288.4113496567993</v>
      </c>
      <c r="BE304">
        <f>Koordinaten!$D$5+BC304</f>
        <v>450.68674565238052</v>
      </c>
      <c r="BF304">
        <f>Koordinaten!$D$6+BD304</f>
        <v>184.5886503432007</v>
      </c>
    </row>
    <row r="305" spans="54:58" x14ac:dyDescent="0.25">
      <c r="BB305">
        <f t="shared" si="45"/>
        <v>265</v>
      </c>
      <c r="BC305">
        <f t="shared" si="46"/>
        <v>-25.275165396820892</v>
      </c>
      <c r="BD305">
        <f t="shared" si="47"/>
        <v>-288.89646244660622</v>
      </c>
      <c r="BE305">
        <f>Koordinaten!$D$5+BC305</f>
        <v>455.72483460317909</v>
      </c>
      <c r="BF305">
        <f>Koordinaten!$D$6+BD305</f>
        <v>184.10353755339378</v>
      </c>
    </row>
    <row r="306" spans="54:58" x14ac:dyDescent="0.25">
      <c r="BB306">
        <f t="shared" si="45"/>
        <v>266</v>
      </c>
      <c r="BC306">
        <f t="shared" si="46"/>
        <v>-20.229377385796418</v>
      </c>
      <c r="BD306">
        <f t="shared" si="47"/>
        <v>-289.293574575349</v>
      </c>
      <c r="BE306">
        <f>Koordinaten!$D$5+BC306</f>
        <v>460.7706226142036</v>
      </c>
      <c r="BF306">
        <f>Koordinaten!$D$6+BD306</f>
        <v>183.706425424651</v>
      </c>
    </row>
    <row r="307" spans="54:58" x14ac:dyDescent="0.25">
      <c r="BB307">
        <f t="shared" si="45"/>
        <v>267</v>
      </c>
      <c r="BC307">
        <f t="shared" si="46"/>
        <v>-15.177427310453849</v>
      </c>
      <c r="BD307">
        <f t="shared" si="47"/>
        <v>-289.60256507882639</v>
      </c>
      <c r="BE307">
        <f>Koordinaten!$D$5+BC307</f>
        <v>465.82257268954618</v>
      </c>
      <c r="BF307">
        <f>Koordinaten!$D$6+BD307</f>
        <v>183.39743492117361</v>
      </c>
    </row>
    <row r="308" spans="54:58" x14ac:dyDescent="0.25">
      <c r="BB308">
        <f t="shared" si="45"/>
        <v>268</v>
      </c>
      <c r="BC308">
        <f t="shared" si="46"/>
        <v>-10.12085404372522</v>
      </c>
      <c r="BD308">
        <f t="shared" si="47"/>
        <v>-289.82333983553775</v>
      </c>
      <c r="BE308">
        <f>Koordinaten!$D$5+BC308</f>
        <v>470.87914595627478</v>
      </c>
      <c r="BF308">
        <f>Koordinaten!$D$6+BD308</f>
        <v>183.17666016446225</v>
      </c>
    </row>
    <row r="309" spans="54:58" x14ac:dyDescent="0.25">
      <c r="BB309">
        <f t="shared" ref="BB309:BB372" si="48">BB308+1</f>
        <v>269</v>
      </c>
      <c r="BC309">
        <f t="shared" si="46"/>
        <v>-5.061197866812214</v>
      </c>
      <c r="BD309">
        <f t="shared" si="47"/>
        <v>-289.95583159535346</v>
      </c>
      <c r="BE309">
        <f>Koordinaten!$D$5+BC309</f>
        <v>475.93880213318778</v>
      </c>
      <c r="BF309">
        <f>Koordinaten!$D$6+BD309</f>
        <v>183.04416840464654</v>
      </c>
    </row>
    <row r="310" spans="54:58" x14ac:dyDescent="0.25">
      <c r="BB310">
        <f t="shared" si="48"/>
        <v>270</v>
      </c>
      <c r="BC310">
        <f t="shared" si="46"/>
        <v>-5.329395778852497E-14</v>
      </c>
      <c r="BD310">
        <f t="shared" si="47"/>
        <v>-290</v>
      </c>
      <c r="BE310">
        <f>Koordinaten!$D$5+BC310</f>
        <v>480.99999999999994</v>
      </c>
      <c r="BF310">
        <f>Koordinaten!$D$6+BD310</f>
        <v>183</v>
      </c>
    </row>
    <row r="311" spans="54:58" x14ac:dyDescent="0.25">
      <c r="BB311">
        <f t="shared" si="48"/>
        <v>271</v>
      </c>
      <c r="BC311">
        <f t="shared" si="46"/>
        <v>5.0611978668121074</v>
      </c>
      <c r="BD311">
        <f t="shared" si="47"/>
        <v>-289.95583159535346</v>
      </c>
      <c r="BE311">
        <f>Koordinaten!$D$5+BC311</f>
        <v>486.06119786681211</v>
      </c>
      <c r="BF311">
        <f>Koordinaten!$D$6+BD311</f>
        <v>183.04416840464654</v>
      </c>
    </row>
    <row r="312" spans="54:58" x14ac:dyDescent="0.25">
      <c r="BB312">
        <f t="shared" si="48"/>
        <v>272</v>
      </c>
      <c r="BC312">
        <f t="shared" si="46"/>
        <v>10.120854043725371</v>
      </c>
      <c r="BD312">
        <f t="shared" si="47"/>
        <v>-289.82333983553775</v>
      </c>
      <c r="BE312">
        <f>Koordinaten!$D$5+BC312</f>
        <v>491.12085404372539</v>
      </c>
      <c r="BF312">
        <f>Koordinaten!$D$6+BD312</f>
        <v>183.17666016446225</v>
      </c>
    </row>
    <row r="313" spans="54:58" x14ac:dyDescent="0.25">
      <c r="BB313">
        <f t="shared" si="48"/>
        <v>273</v>
      </c>
      <c r="BC313">
        <f t="shared" si="46"/>
        <v>15.177427310453744</v>
      </c>
      <c r="BD313">
        <f t="shared" si="47"/>
        <v>-289.60256507882639</v>
      </c>
      <c r="BE313">
        <f>Koordinaten!$D$5+BC313</f>
        <v>496.17742731045377</v>
      </c>
      <c r="BF313">
        <f>Koordinaten!$D$6+BD313</f>
        <v>183.39743492117361</v>
      </c>
    </row>
    <row r="314" spans="54:58" x14ac:dyDescent="0.25">
      <c r="BB314">
        <f t="shared" si="48"/>
        <v>274</v>
      </c>
      <c r="BC314">
        <f t="shared" si="46"/>
        <v>20.229377385796315</v>
      </c>
      <c r="BD314">
        <f t="shared" si="47"/>
        <v>-289.29357457534906</v>
      </c>
      <c r="BE314">
        <f>Koordinaten!$D$5+BC314</f>
        <v>501.22937738579634</v>
      </c>
      <c r="BF314">
        <f>Koordinaten!$D$6+BD314</f>
        <v>183.70642542465094</v>
      </c>
    </row>
    <row r="315" spans="54:58" x14ac:dyDescent="0.25">
      <c r="BB315">
        <f t="shared" si="48"/>
        <v>275</v>
      </c>
      <c r="BC315">
        <f t="shared" si="46"/>
        <v>25.275165396820789</v>
      </c>
      <c r="BD315">
        <f t="shared" si="47"/>
        <v>-288.89646244660622</v>
      </c>
      <c r="BE315">
        <f>Koordinaten!$D$5+BC315</f>
        <v>506.2751653968208</v>
      </c>
      <c r="BF315">
        <f>Koordinaten!$D$6+BD315</f>
        <v>184.10353755339378</v>
      </c>
    </row>
    <row r="316" spans="54:58" x14ac:dyDescent="0.25">
      <c r="BB316">
        <f t="shared" si="48"/>
        <v>276</v>
      </c>
      <c r="BC316">
        <f t="shared" si="46"/>
        <v>30.313254347619367</v>
      </c>
      <c r="BD316">
        <f t="shared" si="47"/>
        <v>-288.4113496567993</v>
      </c>
      <c r="BE316">
        <f>Koordinaten!$D$5+BC316</f>
        <v>511.31325434761936</v>
      </c>
      <c r="BF316">
        <f>Koordinaten!$D$6+BD316</f>
        <v>184.5886503432007</v>
      </c>
    </row>
    <row r="317" spans="54:58" x14ac:dyDescent="0.25">
      <c r="BB317">
        <f t="shared" si="48"/>
        <v>277</v>
      </c>
      <c r="BC317">
        <f t="shared" si="46"/>
        <v>35.342109587492828</v>
      </c>
      <c r="BD317">
        <f t="shared" si="47"/>
        <v>-287.83838397598339</v>
      </c>
      <c r="BE317">
        <f>Koordinaten!$D$5+BC317</f>
        <v>516.34210958749281</v>
      </c>
      <c r="BF317">
        <f>Koordinaten!$D$6+BD317</f>
        <v>185.16161602401661</v>
      </c>
    </row>
    <row r="318" spans="54:58" x14ac:dyDescent="0.25">
      <c r="BB318">
        <f t="shared" si="48"/>
        <v>278</v>
      </c>
      <c r="BC318">
        <f t="shared" si="46"/>
        <v>40.360199278418982</v>
      </c>
      <c r="BD318">
        <f t="shared" si="47"/>
        <v>-287.1777399350554</v>
      </c>
      <c r="BE318">
        <f>Koordinaten!$D$5+BC318</f>
        <v>521.36019927841903</v>
      </c>
      <c r="BF318">
        <f>Koordinaten!$D$6+BD318</f>
        <v>185.8222600649446</v>
      </c>
    </row>
    <row r="319" spans="54:58" x14ac:dyDescent="0.25">
      <c r="BB319">
        <f t="shared" si="48"/>
        <v>279</v>
      </c>
      <c r="BC319">
        <f t="shared" si="46"/>
        <v>45.365994861666898</v>
      </c>
      <c r="BD319">
        <f t="shared" si="47"/>
        <v>-286.42961877258995</v>
      </c>
      <c r="BE319">
        <f>Koordinaten!$D$5+BC319</f>
        <v>526.36599486166688</v>
      </c>
      <c r="BF319">
        <f>Koordinaten!$D$6+BD319</f>
        <v>186.57038122741005</v>
      </c>
    </row>
    <row r="320" spans="54:58" x14ac:dyDescent="0.25">
      <c r="BB320">
        <f t="shared" si="48"/>
        <v>280</v>
      </c>
      <c r="BC320">
        <f t="shared" si="46"/>
        <v>50.357971523409688</v>
      </c>
      <c r="BD320">
        <f t="shared" si="47"/>
        <v>-285.59424837354038</v>
      </c>
      <c r="BE320">
        <f>Koordinaten!$D$5+BC320</f>
        <v>531.35797152340967</v>
      </c>
      <c r="BF320">
        <f>Koordinaten!$D$6+BD320</f>
        <v>187.40575162645962</v>
      </c>
    </row>
    <row r="321" spans="54:58" x14ac:dyDescent="0.25">
      <c r="BB321">
        <f t="shared" si="48"/>
        <v>281</v>
      </c>
      <c r="BC321">
        <f t="shared" si="46"/>
        <v>55.334608659198082</v>
      </c>
      <c r="BD321">
        <f t="shared" si="47"/>
        <v>-284.6718831998225</v>
      </c>
      <c r="BE321">
        <f>Koordinaten!$D$5+BC321</f>
        <v>536.33460865919812</v>
      </c>
      <c r="BF321">
        <f>Koordinaten!$D$6+BD321</f>
        <v>188.3281168001775</v>
      </c>
    </row>
    <row r="322" spans="54:58" x14ac:dyDescent="0.25">
      <c r="BB322">
        <f t="shared" si="48"/>
        <v>282</v>
      </c>
      <c r="BC322">
        <f t="shared" si="46"/>
        <v>60.294390337150233</v>
      </c>
      <c r="BD322">
        <f t="shared" si="47"/>
        <v>-283.66280421280362</v>
      </c>
      <c r="BE322">
        <f>Koordinaten!$D$5+BC322</f>
        <v>541.29439033715028</v>
      </c>
      <c r="BF322">
        <f>Koordinaten!$D$6+BD322</f>
        <v>189.33719578719638</v>
      </c>
    </row>
    <row r="323" spans="54:58" x14ac:dyDescent="0.25">
      <c r="BB323">
        <f t="shared" si="48"/>
        <v>283</v>
      </c>
      <c r="BC323">
        <f t="shared" si="46"/>
        <v>65.235805759720833</v>
      </c>
      <c r="BD323">
        <f t="shared" si="47"/>
        <v>-282.56731878771819</v>
      </c>
      <c r="BE323">
        <f>Koordinaten!$D$5+BC323</f>
        <v>546.23580575972085</v>
      </c>
      <c r="BF323">
        <f>Koordinaten!$D$6+BD323</f>
        <v>190.43268121228181</v>
      </c>
    </row>
    <row r="324" spans="54:58" x14ac:dyDescent="0.25">
      <c r="BB324">
        <f t="shared" si="48"/>
        <v>284</v>
      </c>
      <c r="BC324">
        <f t="shared" si="46"/>
        <v>70.157349723903565</v>
      </c>
      <c r="BD324">
        <f t="shared" si="47"/>
        <v>-281.38576062003904</v>
      </c>
      <c r="BE324">
        <f>Koordinaten!$D$5+BC324</f>
        <v>551.15734972390351</v>
      </c>
      <c r="BF324">
        <f>Koordinaten!$D$6+BD324</f>
        <v>191.61423937996096</v>
      </c>
    </row>
    <row r="325" spans="54:58" x14ac:dyDescent="0.25">
      <c r="BB325">
        <f t="shared" si="48"/>
        <v>285</v>
      </c>
      <c r="BC325">
        <f t="shared" si="46"/>
        <v>75.057523079730885</v>
      </c>
      <c r="BD325">
        <f t="shared" si="47"/>
        <v>-280.11848962382982</v>
      </c>
      <c r="BE325">
        <f>Koordinaten!$D$5+BC325</f>
        <v>556.05752307973091</v>
      </c>
      <c r="BF325">
        <f>Koordinaten!$D$6+BD325</f>
        <v>192.88151037617018</v>
      </c>
    </row>
    <row r="326" spans="54:58" x14ac:dyDescent="0.25">
      <c r="BB326">
        <f t="shared" si="48"/>
        <v>286</v>
      </c>
      <c r="BC326">
        <f t="shared" si="46"/>
        <v>79.934833186929822</v>
      </c>
      <c r="BD326">
        <f t="shared" si="47"/>
        <v>-278.76589182211245</v>
      </c>
      <c r="BE326">
        <f>Koordinaten!$D$5+BC326</f>
        <v>560.93483318692984</v>
      </c>
      <c r="BF326">
        <f>Koordinaten!$D$6+BD326</f>
        <v>194.23410817788755</v>
      </c>
    </row>
    <row r="327" spans="54:58" x14ac:dyDescent="0.25">
      <c r="BB327">
        <f t="shared" si="48"/>
        <v>287</v>
      </c>
      <c r="BC327">
        <f t="shared" si="46"/>
        <v>84.787794369593641</v>
      </c>
      <c r="BD327">
        <f t="shared" si="47"/>
        <v>-277.3283792292803</v>
      </c>
      <c r="BE327">
        <f>Koordinaten!$D$5+BC327</f>
        <v>565.7877943695936</v>
      </c>
      <c r="BF327">
        <f>Koordinaten!$D$6+BD327</f>
        <v>195.6716207707197</v>
      </c>
    </row>
    <row r="328" spans="54:58" x14ac:dyDescent="0.25">
      <c r="BB328">
        <f t="shared" si="48"/>
        <v>288</v>
      </c>
      <c r="BC328">
        <f t="shared" si="46"/>
        <v>89.614928368734695</v>
      </c>
      <c r="BD328">
        <f t="shared" si="47"/>
        <v>-275.80638972559456</v>
      </c>
      <c r="BE328">
        <f>Koordinaten!$D$5+BC328</f>
        <v>570.6149283687347</v>
      </c>
      <c r="BF328">
        <f>Koordinaten!$D$6+BD328</f>
        <v>197.19361027440544</v>
      </c>
    </row>
    <row r="329" spans="54:58" x14ac:dyDescent="0.25">
      <c r="BB329">
        <f t="shared" si="48"/>
        <v>289</v>
      </c>
      <c r="BC329">
        <f t="shared" si="46"/>
        <v>94.414764792575326</v>
      </c>
      <c r="BD329">
        <f t="shared" si="47"/>
        <v>-274.20038692380194</v>
      </c>
      <c r="BE329">
        <f>Koordinaten!$D$5+BC329</f>
        <v>575.41476479257528</v>
      </c>
      <c r="BF329">
        <f>Koordinaten!$D$6+BD329</f>
        <v>198.79961307619806</v>
      </c>
    </row>
    <row r="330" spans="54:58" x14ac:dyDescent="0.25">
      <c r="BB330">
        <f t="shared" si="48"/>
        <v>290</v>
      </c>
      <c r="BC330">
        <f t="shared" si="46"/>
        <v>99.185841564444004</v>
      </c>
      <c r="BD330">
        <f t="shared" si="47"/>
        <v>-272.5108600279134</v>
      </c>
      <c r="BE330">
        <f>Koordinaten!$D$5+BC330</f>
        <v>580.18584156444399</v>
      </c>
      <c r="BF330">
        <f>Koordinaten!$D$6+BD330</f>
        <v>200.4891399720866</v>
      </c>
    </row>
    <row r="331" spans="54:58" x14ac:dyDescent="0.25">
      <c r="BB331">
        <f t="shared" si="48"/>
        <v>291</v>
      </c>
      <c r="BC331">
        <f t="shared" si="46"/>
        <v>103.92670536813711</v>
      </c>
      <c r="BD331">
        <f t="shared" si="47"/>
        <v>-270.73832368418852</v>
      </c>
      <c r="BE331">
        <f>Koordinaten!$D$5+BC331</f>
        <v>584.92670536813716</v>
      </c>
      <c r="BF331">
        <f>Koordinaten!$D$6+BD331</f>
        <v>202.26167631581148</v>
      </c>
    </row>
    <row r="332" spans="54:58" x14ac:dyDescent="0.25">
      <c r="BB332">
        <f t="shared" si="48"/>
        <v>292</v>
      </c>
      <c r="BC332">
        <f t="shared" si="46"/>
        <v>108.63591209061447</v>
      </c>
      <c r="BD332">
        <f t="shared" si="47"/>
        <v>-268.88331782436836</v>
      </c>
      <c r="BE332">
        <f>Koordinaten!$D$5+BC332</f>
        <v>589.63591209061451</v>
      </c>
      <c r="BF332">
        <f>Koordinaten!$D$6+BD332</f>
        <v>204.11668217563164</v>
      </c>
    </row>
    <row r="333" spans="54:58" x14ac:dyDescent="0.25">
      <c r="BB333">
        <f t="shared" si="48"/>
        <v>293</v>
      </c>
      <c r="BC333">
        <f t="shared" si="46"/>
        <v>113.31202726188931</v>
      </c>
      <c r="BD333">
        <f t="shared" si="47"/>
        <v>-266.94640750120772</v>
      </c>
      <c r="BE333">
        <f>Koordinaten!$D$5+BC333</f>
        <v>594.31202726188928</v>
      </c>
      <c r="BF333">
        <f>Koordinaten!$D$6+BD333</f>
        <v>206.05359249879228</v>
      </c>
    </row>
    <row r="334" spans="54:58" x14ac:dyDescent="0.25">
      <c r="BB334">
        <f t="shared" si="48"/>
        <v>294</v>
      </c>
      <c r="BC334">
        <f t="shared" si="46"/>
        <v>117.95362649198194</v>
      </c>
      <c r="BD334">
        <f t="shared" si="47"/>
        <v>-264.92818271635434</v>
      </c>
      <c r="BE334">
        <f>Koordinaten!$D$5+BC334</f>
        <v>598.95362649198194</v>
      </c>
      <c r="BF334">
        <f>Koordinaten!$D$6+BD334</f>
        <v>208.07181728364566</v>
      </c>
    </row>
    <row r="335" spans="54:58" x14ac:dyDescent="0.25">
      <c r="BB335">
        <f t="shared" si="48"/>
        <v>295</v>
      </c>
      <c r="BC335">
        <f t="shared" si="46"/>
        <v>122.55929590480288</v>
      </c>
      <c r="BD335">
        <f t="shared" si="47"/>
        <v>-262.82925824062846</v>
      </c>
      <c r="BE335">
        <f>Koordinaten!$D$5+BC335</f>
        <v>603.55929590480287</v>
      </c>
      <c r="BF335">
        <f>Koordinaten!$D$6+BD335</f>
        <v>210.17074175937154</v>
      </c>
    </row>
    <row r="336" spans="54:58" x14ac:dyDescent="0.25">
      <c r="BB336">
        <f t="shared" si="48"/>
        <v>296</v>
      </c>
      <c r="BC336">
        <f t="shared" si="46"/>
        <v>127.12763256883245</v>
      </c>
      <c r="BD336">
        <f t="shared" si="47"/>
        <v>-260.65027342675842</v>
      </c>
      <c r="BE336">
        <f>Koordinaten!$D$5+BC336</f>
        <v>608.1276325688325</v>
      </c>
      <c r="BF336">
        <f>Koordinaten!$D$6+BD336</f>
        <v>212.34972657324158</v>
      </c>
    </row>
    <row r="337" spans="54:58" x14ac:dyDescent="0.25">
      <c r="BB337">
        <f t="shared" si="48"/>
        <v>297</v>
      </c>
      <c r="BC337">
        <f t="shared" si="46"/>
        <v>131.65724492446853</v>
      </c>
      <c r="BD337">
        <f t="shared" si="47"/>
        <v>-258.39189201462671</v>
      </c>
      <c r="BE337">
        <f>Koordinaten!$D$5+BC337</f>
        <v>612.6572449244685</v>
      </c>
      <c r="BF337">
        <f>Koordinaten!$D$6+BD337</f>
        <v>214.60810798537329</v>
      </c>
    </row>
    <row r="338" spans="54:58" x14ac:dyDescent="0.25">
      <c r="BB338">
        <f t="shared" si="48"/>
        <v>298</v>
      </c>
      <c r="BC338">
        <f t="shared" si="46"/>
        <v>136.14675320790823</v>
      </c>
      <c r="BD338">
        <f t="shared" si="47"/>
        <v>-256.05480192908885</v>
      </c>
      <c r="BE338">
        <f>Koordinaten!$D$5+BC338</f>
        <v>617.1467532079082</v>
      </c>
      <c r="BF338">
        <f>Koordinaten!$D$6+BD338</f>
        <v>216.94519807091115</v>
      </c>
    </row>
    <row r="339" spans="54:58" x14ac:dyDescent="0.25">
      <c r="BB339">
        <f t="shared" si="48"/>
        <v>299</v>
      </c>
      <c r="BC339">
        <f t="shared" si="46"/>
        <v>140.59478987143783</v>
      </c>
      <c r="BD339">
        <f t="shared" si="47"/>
        <v>-253.63971507042473</v>
      </c>
      <c r="BE339">
        <f>Koordinaten!$D$5+BC339</f>
        <v>621.5947898714378</v>
      </c>
      <c r="BF339">
        <f>Koordinaten!$D$6+BD339</f>
        <v>219.36028492957527</v>
      </c>
    </row>
    <row r="340" spans="54:58" x14ac:dyDescent="0.25">
      <c r="BB340">
        <f t="shared" si="48"/>
        <v>300</v>
      </c>
      <c r="BC340">
        <f t="shared" si="46"/>
        <v>145.00000000000003</v>
      </c>
      <c r="BD340">
        <f t="shared" si="47"/>
        <v>-251.14736709748721</v>
      </c>
      <c r="BE340">
        <f>Koordinaten!$D$5+BC340</f>
        <v>626</v>
      </c>
      <c r="BF340">
        <f>Koordinaten!$D$6+BD340</f>
        <v>221.85263290251279</v>
      </c>
    </row>
    <row r="341" spans="54:58" x14ac:dyDescent="0.25">
      <c r="BB341">
        <f t="shared" si="48"/>
        <v>301</v>
      </c>
      <c r="BC341">
        <f t="shared" si="46"/>
        <v>149.36104172391572</v>
      </c>
      <c r="BD341">
        <f t="shared" si="47"/>
        <v>-248.57851720361256</v>
      </c>
      <c r="BE341">
        <f>Koordinaten!$D$5+BC341</f>
        <v>630.36104172391572</v>
      </c>
      <c r="BF341">
        <f>Koordinaten!$D$6+BD341</f>
        <v>224.42148279638744</v>
      </c>
    </row>
    <row r="342" spans="54:58" x14ac:dyDescent="0.25">
      <c r="BB342">
        <f t="shared" si="48"/>
        <v>302</v>
      </c>
      <c r="BC342">
        <f t="shared" si="46"/>
        <v>153.67658662762935</v>
      </c>
      <c r="BD342">
        <f t="shared" si="47"/>
        <v>-245.93394788536358</v>
      </c>
      <c r="BE342">
        <f>Koordinaten!$D$5+BC342</f>
        <v>634.67658662762938</v>
      </c>
      <c r="BF342">
        <f>Koordinaten!$D$6+BD342</f>
        <v>227.06605211463642</v>
      </c>
    </row>
    <row r="343" spans="54:58" x14ac:dyDescent="0.25">
      <c r="BB343">
        <f t="shared" si="48"/>
        <v>303</v>
      </c>
      <c r="BC343">
        <f t="shared" si="46"/>
        <v>157.94532015435772</v>
      </c>
      <c r="BD343">
        <f t="shared" si="47"/>
        <v>-243.21446470417303</v>
      </c>
      <c r="BE343">
        <f>Koordinaten!$D$5+BC343</f>
        <v>638.94532015435766</v>
      </c>
      <c r="BF343">
        <f>Koordinaten!$D$6+BD343</f>
        <v>229.78553529582697</v>
      </c>
    </row>
    <row r="344" spans="54:58" x14ac:dyDescent="0.25">
      <c r="BB344">
        <f t="shared" si="48"/>
        <v>304</v>
      </c>
      <c r="BC344">
        <f t="shared" si="46"/>
        <v>162.16594200651664</v>
      </c>
      <c r="BD344">
        <f t="shared" si="47"/>
        <v>-240.42089604096208</v>
      </c>
      <c r="BE344">
        <f>Koordinaten!$D$5+BC344</f>
        <v>643.16594200651662</v>
      </c>
      <c r="BF344">
        <f>Koordinaten!$D$6+BD344</f>
        <v>232.57910395903792</v>
      </c>
    </row>
    <row r="345" spans="54:58" x14ac:dyDescent="0.25">
      <c r="BB345">
        <f t="shared" si="48"/>
        <v>305</v>
      </c>
      <c r="BC345">
        <f t="shared" si="46"/>
        <v>166.33716654180336</v>
      </c>
      <c r="BD345">
        <f t="shared" si="47"/>
        <v>-237.55409284380761</v>
      </c>
      <c r="BE345">
        <f>Koordinaten!$D$5+BC345</f>
        <v>647.3371665418033</v>
      </c>
      <c r="BF345">
        <f>Koordinaten!$D$6+BD345</f>
        <v>235.44590715619239</v>
      </c>
    </row>
    <row r="346" spans="54:58" x14ac:dyDescent="0.25">
      <c r="BB346">
        <f t="shared" si="48"/>
        <v>306</v>
      </c>
      <c r="BC346">
        <f t="shared" si="46"/>
        <v>170.45772316481714</v>
      </c>
      <c r="BD346">
        <f t="shared" si="47"/>
        <v>-234.61492836873478</v>
      </c>
      <c r="BE346">
        <f>Koordinaten!$D$5+BC346</f>
        <v>651.45772316481714</v>
      </c>
      <c r="BF346">
        <f>Koordinaten!$D$6+BD346</f>
        <v>238.38507163126522</v>
      </c>
    </row>
    <row r="347" spans="54:58" x14ac:dyDescent="0.25">
      <c r="BB347">
        <f t="shared" si="48"/>
        <v>307</v>
      </c>
      <c r="BC347">
        <f t="shared" si="46"/>
        <v>174.52635671409391</v>
      </c>
      <c r="BD347">
        <f t="shared" si="47"/>
        <v>-231.60429791371499</v>
      </c>
      <c r="BE347">
        <f>Koordinaten!$D$5+BC347</f>
        <v>655.52635671409394</v>
      </c>
      <c r="BF347">
        <f>Koordinaten!$D$6+BD347</f>
        <v>241.39570208628501</v>
      </c>
    </row>
    <row r="348" spans="54:58" x14ac:dyDescent="0.25">
      <c r="BB348">
        <f t="shared" si="48"/>
        <v>308</v>
      </c>
      <c r="BC348">
        <f t="shared" si="46"/>
        <v>178.54182784444097</v>
      </c>
      <c r="BD348">
        <f t="shared" si="47"/>
        <v>-228.52311854594933</v>
      </c>
      <c r="BE348">
        <f>Koordinaten!$D$5+BC348</f>
        <v>659.54182784444095</v>
      </c>
      <c r="BF348">
        <f>Koordinaten!$D$6+BD348</f>
        <v>244.47688145405067</v>
      </c>
    </row>
    <row r="349" spans="54:58" x14ac:dyDescent="0.25">
      <c r="BB349">
        <f t="shared" si="48"/>
        <v>309</v>
      </c>
      <c r="BC349">
        <f t="shared" si="46"/>
        <v>182.50291340445287</v>
      </c>
      <c r="BD349">
        <f t="shared" si="47"/>
        <v>-225.37232882252152</v>
      </c>
      <c r="BE349">
        <f>Koordinaten!$D$5+BC349</f>
        <v>663.5029134044529</v>
      </c>
      <c r="BF349">
        <f>Koordinaten!$D$6+BD349</f>
        <v>247.62767117747848</v>
      </c>
    </row>
    <row r="350" spans="54:58" x14ac:dyDescent="0.25">
      <c r="BB350">
        <f t="shared" si="48"/>
        <v>310</v>
      </c>
      <c r="BC350">
        <f t="shared" si="46"/>
        <v>186.40840680909639</v>
      </c>
      <c r="BD350">
        <f t="shared" si="47"/>
        <v>-222.15288850450366</v>
      </c>
      <c r="BE350">
        <f>Koordinaten!$D$5+BC350</f>
        <v>667.40840680909639</v>
      </c>
      <c r="BF350">
        <f>Koordinaten!$D$6+BD350</f>
        <v>250.84711149549634</v>
      </c>
    </row>
    <row r="351" spans="54:58" x14ac:dyDescent="0.25">
      <c r="BB351">
        <f t="shared" si="48"/>
        <v>311</v>
      </c>
      <c r="BC351">
        <f t="shared" si="46"/>
        <v>190.25711840724705</v>
      </c>
      <c r="BD351">
        <f t="shared" si="47"/>
        <v>-218.86577826460396</v>
      </c>
      <c r="BE351">
        <f>Koordinaten!$D$5+BC351</f>
        <v>671.25711840724705</v>
      </c>
      <c r="BF351">
        <f>Koordinaten!$D$6+BD351</f>
        <v>254.13422173539604</v>
      </c>
    </row>
    <row r="352" spans="54:58" x14ac:dyDescent="0.25">
      <c r="BB352">
        <f t="shared" si="48"/>
        <v>312</v>
      </c>
      <c r="BC352">
        <f t="shared" si="46"/>
        <v>194.04787584406876</v>
      </c>
      <c r="BD352">
        <f t="shared" si="47"/>
        <v>-215.51199938844442</v>
      </c>
      <c r="BE352">
        <f>Koordinaten!$D$5+BC352</f>
        <v>675.04787584406881</v>
      </c>
      <c r="BF352">
        <f>Koordinaten!$D$6+BD352</f>
        <v>257.48800061155555</v>
      </c>
    </row>
    <row r="353" spans="54:58" x14ac:dyDescent="0.25">
      <c r="BB353">
        <f t="shared" si="48"/>
        <v>313</v>
      </c>
      <c r="BC353">
        <f t="shared" si="46"/>
        <v>197.77952441812459</v>
      </c>
      <c r="BD353">
        <f t="shared" si="47"/>
        <v>-212.0925734695594</v>
      </c>
      <c r="BE353">
        <f>Koordinaten!$D$5+BC353</f>
        <v>678.77952441812454</v>
      </c>
      <c r="BF353">
        <f>Koordinaten!$D$6+BD353</f>
        <v>260.9074265304406</v>
      </c>
    </row>
    <row r="354" spans="54:58" x14ac:dyDescent="0.25">
      <c r="BB354">
        <f t="shared" si="48"/>
        <v>314</v>
      </c>
      <c r="BC354">
        <f t="shared" si="46"/>
        <v>201.4509274331092</v>
      </c>
      <c r="BD354">
        <f t="shared" si="47"/>
        <v>-208.60854209820886</v>
      </c>
      <c r="BE354">
        <f>Koordinaten!$D$5+BC354</f>
        <v>682.4509274331092</v>
      </c>
      <c r="BF354">
        <f>Koordinaten!$D$6+BD354</f>
        <v>264.39145790179111</v>
      </c>
    </row>
    <row r="355" spans="54:58" x14ac:dyDescent="0.25">
      <c r="BB355">
        <f t="shared" si="48"/>
        <v>315</v>
      </c>
      <c r="BC355">
        <f t="shared" si="46"/>
        <v>205.06096654409873</v>
      </c>
      <c r="BD355">
        <f t="shared" si="47"/>
        <v>-205.06096654409882</v>
      </c>
      <c r="BE355">
        <f>Koordinaten!$D$5+BC355</f>
        <v>686.06096654409873</v>
      </c>
      <c r="BF355">
        <f>Koordinaten!$D$6+BD355</f>
        <v>267.93903345590115</v>
      </c>
    </row>
    <row r="356" spans="54:58" x14ac:dyDescent="0.25">
      <c r="BB356">
        <f t="shared" si="48"/>
        <v>316</v>
      </c>
      <c r="BC356">
        <f t="shared" si="46"/>
        <v>208.60854209820874</v>
      </c>
      <c r="BD356">
        <f t="shared" si="47"/>
        <v>-201.45092743310931</v>
      </c>
      <c r="BE356">
        <f>Koordinaten!$D$5+BC356</f>
        <v>689.60854209820877</v>
      </c>
      <c r="BF356">
        <f>Koordinaten!$D$6+BD356</f>
        <v>271.54907256689069</v>
      </c>
    </row>
    <row r="357" spans="54:58" x14ac:dyDescent="0.25">
      <c r="BB357">
        <f t="shared" si="48"/>
        <v>317</v>
      </c>
      <c r="BC357">
        <f t="shared" si="46"/>
        <v>212.09257346955951</v>
      </c>
      <c r="BD357">
        <f t="shared" si="47"/>
        <v>-197.77952441812448</v>
      </c>
      <c r="BE357">
        <f>Koordinaten!$D$5+BC357</f>
        <v>693.09257346955951</v>
      </c>
      <c r="BF357">
        <f>Koordinaten!$D$6+BD357</f>
        <v>275.22047558187552</v>
      </c>
    </row>
    <row r="358" spans="54:58" x14ac:dyDescent="0.25">
      <c r="BB358">
        <f t="shared" si="48"/>
        <v>318</v>
      </c>
      <c r="BC358">
        <f t="shared" si="46"/>
        <v>215.51199938844434</v>
      </c>
      <c r="BD358">
        <f t="shared" si="47"/>
        <v>-194.04787584406887</v>
      </c>
      <c r="BE358">
        <f>Koordinaten!$D$5+BC358</f>
        <v>696.51199938844434</v>
      </c>
      <c r="BF358">
        <f>Koordinaten!$D$6+BD358</f>
        <v>278.95212415593113</v>
      </c>
    </row>
    <row r="359" spans="54:58" x14ac:dyDescent="0.25">
      <c r="BB359">
        <f t="shared" si="48"/>
        <v>319</v>
      </c>
      <c r="BC359">
        <f t="shared" si="46"/>
        <v>218.86577826460385</v>
      </c>
      <c r="BD359">
        <f t="shared" si="47"/>
        <v>-190.25711840724713</v>
      </c>
      <c r="BE359">
        <f>Koordinaten!$D$5+BC359</f>
        <v>699.86577826460382</v>
      </c>
      <c r="BF359">
        <f>Koordinaten!$D$6+BD359</f>
        <v>282.74288159275284</v>
      </c>
    </row>
    <row r="360" spans="54:58" x14ac:dyDescent="0.25">
      <c r="BB360">
        <f t="shared" si="48"/>
        <v>320</v>
      </c>
      <c r="BC360">
        <f t="shared" si="46"/>
        <v>222.15288850450355</v>
      </c>
      <c r="BD360">
        <f t="shared" si="47"/>
        <v>-186.40840680909648</v>
      </c>
      <c r="BE360">
        <f>Koordinaten!$D$5+BC360</f>
        <v>703.15288850450361</v>
      </c>
      <c r="BF360">
        <f>Koordinaten!$D$6+BD360</f>
        <v>286.5915931909035</v>
      </c>
    </row>
    <row r="361" spans="54:58" x14ac:dyDescent="0.25">
      <c r="BB361">
        <f t="shared" si="48"/>
        <v>321</v>
      </c>
      <c r="BC361">
        <f t="shared" si="46"/>
        <v>225.37232882252147</v>
      </c>
      <c r="BD361">
        <f t="shared" si="47"/>
        <v>-182.50291340445298</v>
      </c>
      <c r="BE361">
        <f>Koordinaten!$D$5+BC361</f>
        <v>706.37232882252147</v>
      </c>
      <c r="BF361">
        <f>Koordinaten!$D$6+BD361</f>
        <v>290.49708659554699</v>
      </c>
    </row>
    <row r="362" spans="54:58" x14ac:dyDescent="0.25">
      <c r="BB362">
        <f t="shared" si="48"/>
        <v>322</v>
      </c>
      <c r="BC362">
        <f t="shared" ref="BC362:BC400" si="49">$AT$39/10*COS(PI()/360*BB362*2)</f>
        <v>228.52311854594939</v>
      </c>
      <c r="BD362">
        <f t="shared" ref="BD362:BD400" si="50">$AT$39/10*SIN(PI()/360*BB362*2)</f>
        <v>-178.54182784444086</v>
      </c>
      <c r="BE362">
        <f>Koordinaten!$D$5+BC362</f>
        <v>709.52311854594939</v>
      </c>
      <c r="BF362">
        <f>Koordinaten!$D$6+BD362</f>
        <v>294.45817215555917</v>
      </c>
    </row>
    <row r="363" spans="54:58" x14ac:dyDescent="0.25">
      <c r="BB363">
        <f t="shared" si="48"/>
        <v>323</v>
      </c>
      <c r="BC363">
        <f t="shared" si="49"/>
        <v>231.60429791371493</v>
      </c>
      <c r="BD363">
        <f t="shared" si="50"/>
        <v>-174.52635671409399</v>
      </c>
      <c r="BE363">
        <f>Koordinaten!$D$5+BC363</f>
        <v>712.60429791371496</v>
      </c>
      <c r="BF363">
        <f>Koordinaten!$D$6+BD363</f>
        <v>298.47364328590601</v>
      </c>
    </row>
    <row r="364" spans="54:58" x14ac:dyDescent="0.25">
      <c r="BB364">
        <f t="shared" si="48"/>
        <v>324</v>
      </c>
      <c r="BC364">
        <f t="shared" si="49"/>
        <v>234.61492836873472</v>
      </c>
      <c r="BD364">
        <f t="shared" si="50"/>
        <v>-170.45772316481728</v>
      </c>
      <c r="BE364">
        <f>Koordinaten!$D$5+BC364</f>
        <v>715.6149283687347</v>
      </c>
      <c r="BF364">
        <f>Koordinaten!$D$6+BD364</f>
        <v>302.54227683518275</v>
      </c>
    </row>
    <row r="365" spans="54:58" x14ac:dyDescent="0.25">
      <c r="BB365">
        <f t="shared" si="48"/>
        <v>325</v>
      </c>
      <c r="BC365">
        <f t="shared" si="49"/>
        <v>237.55409284380755</v>
      </c>
      <c r="BD365">
        <f t="shared" si="50"/>
        <v>-166.33716654180347</v>
      </c>
      <c r="BE365">
        <f>Koordinaten!$D$5+BC365</f>
        <v>718.55409284380755</v>
      </c>
      <c r="BF365">
        <f>Koordinaten!$D$6+BD365</f>
        <v>306.66283345819653</v>
      </c>
    </row>
    <row r="366" spans="54:58" x14ac:dyDescent="0.25">
      <c r="BB366">
        <f t="shared" si="48"/>
        <v>326</v>
      </c>
      <c r="BC366">
        <f t="shared" si="49"/>
        <v>240.42089604096213</v>
      </c>
      <c r="BD366">
        <f t="shared" si="50"/>
        <v>-162.1659420065165</v>
      </c>
      <c r="BE366">
        <f>Koordinaten!$D$5+BC366</f>
        <v>721.42089604096213</v>
      </c>
      <c r="BF366">
        <f>Koordinaten!$D$6+BD366</f>
        <v>310.8340579934835</v>
      </c>
    </row>
    <row r="367" spans="54:58" x14ac:dyDescent="0.25">
      <c r="BB367">
        <f t="shared" si="48"/>
        <v>327</v>
      </c>
      <c r="BC367">
        <f t="shared" si="49"/>
        <v>243.21446470417297</v>
      </c>
      <c r="BD367">
        <f t="shared" si="50"/>
        <v>-157.94532015435783</v>
      </c>
      <c r="BE367">
        <f>Koordinaten!$D$5+BC367</f>
        <v>724.214464704173</v>
      </c>
      <c r="BF367">
        <f>Koordinaten!$D$6+BD367</f>
        <v>315.05467984564217</v>
      </c>
    </row>
    <row r="368" spans="54:58" x14ac:dyDescent="0.25">
      <c r="BB368">
        <f t="shared" si="48"/>
        <v>328</v>
      </c>
      <c r="BC368">
        <f t="shared" si="49"/>
        <v>245.93394788536352</v>
      </c>
      <c r="BD368">
        <f t="shared" si="50"/>
        <v>-153.67658662762946</v>
      </c>
      <c r="BE368">
        <f>Koordinaten!$D$5+BC368</f>
        <v>726.93394788536352</v>
      </c>
      <c r="BF368">
        <f>Koordinaten!$D$6+BD368</f>
        <v>319.32341337237051</v>
      </c>
    </row>
    <row r="369" spans="54:58" x14ac:dyDescent="0.25">
      <c r="BB369">
        <f t="shared" si="48"/>
        <v>329</v>
      </c>
      <c r="BC369">
        <f t="shared" si="49"/>
        <v>248.57851720361251</v>
      </c>
      <c r="BD369">
        <f t="shared" si="50"/>
        <v>-149.3610417239158</v>
      </c>
      <c r="BE369">
        <f>Koordinaten!$D$5+BC369</f>
        <v>729.57851720361248</v>
      </c>
      <c r="BF369">
        <f>Koordinaten!$D$6+BD369</f>
        <v>323.63895827608417</v>
      </c>
    </row>
    <row r="370" spans="54:58" x14ac:dyDescent="0.25">
      <c r="BB370">
        <f t="shared" si="48"/>
        <v>330</v>
      </c>
      <c r="BC370">
        <f t="shared" si="49"/>
        <v>251.14736709748712</v>
      </c>
      <c r="BD370">
        <f t="shared" si="50"/>
        <v>-145.00000000000014</v>
      </c>
      <c r="BE370">
        <f>Koordinaten!$D$5+BC370</f>
        <v>732.14736709748718</v>
      </c>
      <c r="BF370">
        <f>Koordinaten!$D$6+BD370</f>
        <v>327.99999999999989</v>
      </c>
    </row>
    <row r="371" spans="54:58" x14ac:dyDescent="0.25">
      <c r="BB371">
        <f t="shared" si="48"/>
        <v>331</v>
      </c>
      <c r="BC371">
        <f t="shared" si="49"/>
        <v>253.63971507042478</v>
      </c>
      <c r="BD371">
        <f t="shared" si="50"/>
        <v>-140.59478987143771</v>
      </c>
      <c r="BE371">
        <f>Koordinaten!$D$5+BC371</f>
        <v>734.63971507042481</v>
      </c>
      <c r="BF371">
        <f>Koordinaten!$D$6+BD371</f>
        <v>332.40521012856232</v>
      </c>
    </row>
    <row r="372" spans="54:58" x14ac:dyDescent="0.25">
      <c r="BB372">
        <f t="shared" si="48"/>
        <v>332</v>
      </c>
      <c r="BC372">
        <f t="shared" si="49"/>
        <v>256.0548019290888</v>
      </c>
      <c r="BD372">
        <f t="shared" si="50"/>
        <v>-136.14675320790835</v>
      </c>
      <c r="BE372">
        <f>Koordinaten!$D$5+BC372</f>
        <v>737.05480192908885</v>
      </c>
      <c r="BF372">
        <f>Koordinaten!$D$6+BD372</f>
        <v>336.85324679209168</v>
      </c>
    </row>
    <row r="373" spans="54:58" x14ac:dyDescent="0.25">
      <c r="BB373">
        <f t="shared" ref="BB373:BB400" si="51">BB372+1</f>
        <v>333</v>
      </c>
      <c r="BC373">
        <f t="shared" si="49"/>
        <v>258.39189201462665</v>
      </c>
      <c r="BD373">
        <f t="shared" si="50"/>
        <v>-131.65724492446861</v>
      </c>
      <c r="BE373">
        <f>Koordinaten!$D$5+BC373</f>
        <v>739.39189201462659</v>
      </c>
      <c r="BF373">
        <f>Koordinaten!$D$6+BD373</f>
        <v>341.34275507553139</v>
      </c>
    </row>
    <row r="374" spans="54:58" x14ac:dyDescent="0.25">
      <c r="BB374">
        <f t="shared" si="51"/>
        <v>334</v>
      </c>
      <c r="BC374">
        <f t="shared" si="49"/>
        <v>260.65027342675836</v>
      </c>
      <c r="BD374">
        <f t="shared" si="50"/>
        <v>-127.12763256883255</v>
      </c>
      <c r="BE374">
        <f>Koordinaten!$D$5+BC374</f>
        <v>741.6502734267583</v>
      </c>
      <c r="BF374">
        <f>Koordinaten!$D$6+BD374</f>
        <v>345.87236743116745</v>
      </c>
    </row>
    <row r="375" spans="54:58" x14ac:dyDescent="0.25">
      <c r="BB375">
        <f t="shared" si="51"/>
        <v>335</v>
      </c>
      <c r="BC375">
        <f t="shared" si="49"/>
        <v>262.82925824062852</v>
      </c>
      <c r="BD375">
        <f t="shared" si="50"/>
        <v>-122.55929590480277</v>
      </c>
      <c r="BE375">
        <f>Koordinaten!$D$5+BC375</f>
        <v>743.82925824062852</v>
      </c>
      <c r="BF375">
        <f>Koordinaten!$D$6+BD375</f>
        <v>350.44070409519725</v>
      </c>
    </row>
    <row r="376" spans="54:58" x14ac:dyDescent="0.25">
      <c r="BB376">
        <f t="shared" si="51"/>
        <v>336</v>
      </c>
      <c r="BC376">
        <f t="shared" si="49"/>
        <v>264.92818271635429</v>
      </c>
      <c r="BD376">
        <f t="shared" si="50"/>
        <v>-117.95362649198205</v>
      </c>
      <c r="BE376">
        <f>Koordinaten!$D$5+BC376</f>
        <v>745.92818271635429</v>
      </c>
      <c r="BF376">
        <f>Koordinaten!$D$6+BD376</f>
        <v>355.04637350801795</v>
      </c>
    </row>
    <row r="377" spans="54:58" x14ac:dyDescent="0.25">
      <c r="BB377">
        <f t="shared" si="51"/>
        <v>337</v>
      </c>
      <c r="BC377">
        <f t="shared" si="49"/>
        <v>266.94640750120766</v>
      </c>
      <c r="BD377">
        <f t="shared" si="50"/>
        <v>-113.31202726188943</v>
      </c>
      <c r="BE377">
        <f>Koordinaten!$D$5+BC377</f>
        <v>747.94640750120766</v>
      </c>
      <c r="BF377">
        <f>Koordinaten!$D$6+BD377</f>
        <v>359.6879727381106</v>
      </c>
    </row>
    <row r="378" spans="54:58" x14ac:dyDescent="0.25">
      <c r="BB378">
        <f t="shared" si="51"/>
        <v>338</v>
      </c>
      <c r="BC378">
        <f t="shared" si="49"/>
        <v>268.88331782436831</v>
      </c>
      <c r="BD378">
        <f t="shared" si="50"/>
        <v>-108.63591209061458</v>
      </c>
      <c r="BE378">
        <f>Koordinaten!$D$5+BC378</f>
        <v>749.88331782436831</v>
      </c>
      <c r="BF378">
        <f>Koordinaten!$D$6+BD378</f>
        <v>364.36408790938543</v>
      </c>
    </row>
    <row r="379" spans="54:58" x14ac:dyDescent="0.25">
      <c r="BB379">
        <f t="shared" si="51"/>
        <v>339</v>
      </c>
      <c r="BC379">
        <f t="shared" si="49"/>
        <v>270.73832368418846</v>
      </c>
      <c r="BD379">
        <f t="shared" si="50"/>
        <v>-103.92670536813722</v>
      </c>
      <c r="BE379">
        <f>Koordinaten!$D$5+BC379</f>
        <v>751.73832368418846</v>
      </c>
      <c r="BF379">
        <f>Koordinaten!$D$6+BD379</f>
        <v>369.07329463186278</v>
      </c>
    </row>
    <row r="380" spans="54:58" x14ac:dyDescent="0.25">
      <c r="BB380">
        <f t="shared" si="51"/>
        <v>340</v>
      </c>
      <c r="BC380">
        <f t="shared" si="49"/>
        <v>272.51086002791345</v>
      </c>
      <c r="BD380">
        <f t="shared" si="50"/>
        <v>-99.185841564443891</v>
      </c>
      <c r="BE380">
        <f>Koordinaten!$D$5+BC380</f>
        <v>753.5108600279134</v>
      </c>
      <c r="BF380">
        <f>Koordinaten!$D$6+BD380</f>
        <v>373.81415843555612</v>
      </c>
    </row>
    <row r="381" spans="54:58" x14ac:dyDescent="0.25">
      <c r="BB381">
        <f t="shared" si="51"/>
        <v>341</v>
      </c>
      <c r="BC381">
        <f t="shared" si="49"/>
        <v>274.20038692380189</v>
      </c>
      <c r="BD381">
        <f t="shared" si="50"/>
        <v>-94.41476479257544</v>
      </c>
      <c r="BE381">
        <f>Koordinaten!$D$5+BC381</f>
        <v>755.20038692380194</v>
      </c>
      <c r="BF381">
        <f>Koordinaten!$D$6+BD381</f>
        <v>378.58523520742455</v>
      </c>
    </row>
    <row r="382" spans="54:58" x14ac:dyDescent="0.25">
      <c r="BB382">
        <f t="shared" si="51"/>
        <v>342</v>
      </c>
      <c r="BC382">
        <f t="shared" si="49"/>
        <v>275.8063897255945</v>
      </c>
      <c r="BD382">
        <f t="shared" si="50"/>
        <v>-89.614928368734809</v>
      </c>
      <c r="BE382">
        <f>Koordinaten!$D$5+BC382</f>
        <v>756.8063897255945</v>
      </c>
      <c r="BF382">
        <f>Koordinaten!$D$6+BD382</f>
        <v>383.38507163126519</v>
      </c>
    </row>
    <row r="383" spans="54:58" x14ac:dyDescent="0.25">
      <c r="BB383">
        <f t="shared" si="51"/>
        <v>343</v>
      </c>
      <c r="BC383">
        <f t="shared" si="49"/>
        <v>277.32837922928024</v>
      </c>
      <c r="BD383">
        <f t="shared" si="50"/>
        <v>-84.787794369593769</v>
      </c>
      <c r="BE383">
        <f>Koordinaten!$D$5+BC383</f>
        <v>758.32837922928024</v>
      </c>
      <c r="BF383">
        <f>Koordinaten!$D$6+BD383</f>
        <v>388.21220563040623</v>
      </c>
    </row>
    <row r="384" spans="54:58" x14ac:dyDescent="0.25">
      <c r="BB384">
        <f t="shared" si="51"/>
        <v>344</v>
      </c>
      <c r="BC384">
        <f t="shared" si="49"/>
        <v>278.76589182211251</v>
      </c>
      <c r="BD384">
        <f t="shared" si="50"/>
        <v>-79.934833186929694</v>
      </c>
      <c r="BE384">
        <f>Koordinaten!$D$5+BC384</f>
        <v>759.76589182211251</v>
      </c>
      <c r="BF384">
        <f>Koordinaten!$D$6+BD384</f>
        <v>393.06516681307028</v>
      </c>
    </row>
    <row r="385" spans="54:58" x14ac:dyDescent="0.25">
      <c r="BB385">
        <f t="shared" si="51"/>
        <v>345</v>
      </c>
      <c r="BC385">
        <f t="shared" si="49"/>
        <v>280.11848962382982</v>
      </c>
      <c r="BD385">
        <f t="shared" si="50"/>
        <v>-75.057523079730998</v>
      </c>
      <c r="BE385">
        <f>Koordinaten!$D$5+BC385</f>
        <v>761.11848962382987</v>
      </c>
      <c r="BF385">
        <f>Koordinaten!$D$6+BD385</f>
        <v>397.94247692026897</v>
      </c>
    </row>
    <row r="386" spans="54:58" x14ac:dyDescent="0.25">
      <c r="BB386">
        <f t="shared" si="51"/>
        <v>346</v>
      </c>
      <c r="BC386">
        <f t="shared" si="49"/>
        <v>281.38576062003898</v>
      </c>
      <c r="BD386">
        <f t="shared" si="50"/>
        <v>-70.157349723903678</v>
      </c>
      <c r="BE386">
        <f>Koordinaten!$D$5+BC386</f>
        <v>762.38576062003904</v>
      </c>
      <c r="BF386">
        <f>Koordinaten!$D$6+BD386</f>
        <v>402.84265027609632</v>
      </c>
    </row>
    <row r="387" spans="54:58" x14ac:dyDescent="0.25">
      <c r="BB387">
        <f t="shared" si="51"/>
        <v>347</v>
      </c>
      <c r="BC387">
        <f t="shared" si="49"/>
        <v>282.56731878771819</v>
      </c>
      <c r="BD387">
        <f t="shared" si="50"/>
        <v>-65.235805759720947</v>
      </c>
      <c r="BE387">
        <f>Koordinaten!$D$5+BC387</f>
        <v>763.56731878771825</v>
      </c>
      <c r="BF387">
        <f>Koordinaten!$D$6+BD387</f>
        <v>407.76419424027904</v>
      </c>
    </row>
    <row r="388" spans="54:58" x14ac:dyDescent="0.25">
      <c r="BB388">
        <f t="shared" si="51"/>
        <v>348</v>
      </c>
      <c r="BC388">
        <f t="shared" si="49"/>
        <v>283.66280421280362</v>
      </c>
      <c r="BD388">
        <f t="shared" si="50"/>
        <v>-60.294390337150361</v>
      </c>
      <c r="BE388">
        <f>Koordinaten!$D$5+BC388</f>
        <v>764.66280421280362</v>
      </c>
      <c r="BF388">
        <f>Koordinaten!$D$6+BD388</f>
        <v>412.70560966284961</v>
      </c>
    </row>
    <row r="389" spans="54:58" x14ac:dyDescent="0.25">
      <c r="BB389">
        <f t="shared" si="51"/>
        <v>349</v>
      </c>
      <c r="BC389">
        <f t="shared" si="49"/>
        <v>284.67188319982256</v>
      </c>
      <c r="BD389">
        <f t="shared" si="50"/>
        <v>-55.334608659197954</v>
      </c>
      <c r="BE389">
        <f>Koordinaten!$D$5+BC389</f>
        <v>765.67188319982256</v>
      </c>
      <c r="BF389">
        <f>Koordinaten!$D$6+BD389</f>
        <v>417.66539134080205</v>
      </c>
    </row>
    <row r="390" spans="54:58" x14ac:dyDescent="0.25">
      <c r="BB390">
        <f t="shared" si="51"/>
        <v>350</v>
      </c>
      <c r="BC390">
        <f t="shared" si="49"/>
        <v>285.59424837354032</v>
      </c>
      <c r="BD390">
        <f t="shared" si="50"/>
        <v>-50.357971523409809</v>
      </c>
      <c r="BE390">
        <f>Koordinaten!$D$5+BC390</f>
        <v>766.59424837354027</v>
      </c>
      <c r="BF390">
        <f>Koordinaten!$D$6+BD390</f>
        <v>422.64202847659021</v>
      </c>
    </row>
    <row r="391" spans="54:58" x14ac:dyDescent="0.25">
      <c r="BB391">
        <f t="shared" si="51"/>
        <v>351</v>
      </c>
      <c r="BC391">
        <f t="shared" si="49"/>
        <v>286.42961877258995</v>
      </c>
      <c r="BD391">
        <f t="shared" si="50"/>
        <v>-45.365994861667026</v>
      </c>
      <c r="BE391">
        <f>Koordinaten!$D$5+BC391</f>
        <v>767.42961877258995</v>
      </c>
      <c r="BF391">
        <f>Koordinaten!$D$6+BD391</f>
        <v>427.63400513833295</v>
      </c>
    </row>
    <row r="392" spans="54:58" x14ac:dyDescent="0.25">
      <c r="BB392">
        <f t="shared" si="51"/>
        <v>352</v>
      </c>
      <c r="BC392">
        <f t="shared" si="49"/>
        <v>287.1777399350554</v>
      </c>
      <c r="BD392">
        <f t="shared" si="50"/>
        <v>-40.360199278419103</v>
      </c>
      <c r="BE392">
        <f>Koordinaten!$D$5+BC392</f>
        <v>768.17773993505534</v>
      </c>
      <c r="BF392">
        <f>Koordinaten!$D$6+BD392</f>
        <v>432.63980072158091</v>
      </c>
    </row>
    <row r="393" spans="54:58" x14ac:dyDescent="0.25">
      <c r="BB393">
        <f t="shared" si="51"/>
        <v>353</v>
      </c>
      <c r="BC393">
        <f t="shared" si="49"/>
        <v>287.83838397598339</v>
      </c>
      <c r="BD393">
        <f t="shared" si="50"/>
        <v>-35.342109587492693</v>
      </c>
      <c r="BE393">
        <f>Koordinaten!$D$5+BC393</f>
        <v>768.83838397598333</v>
      </c>
      <c r="BF393">
        <f>Koordinaten!$D$6+BD393</f>
        <v>437.6578904125073</v>
      </c>
    </row>
    <row r="394" spans="54:58" x14ac:dyDescent="0.25">
      <c r="BB394">
        <f t="shared" si="51"/>
        <v>354</v>
      </c>
      <c r="BC394">
        <f t="shared" si="49"/>
        <v>288.41134965679925</v>
      </c>
      <c r="BD394">
        <f t="shared" si="50"/>
        <v>-30.313254347619491</v>
      </c>
      <c r="BE394">
        <f>Koordinaten!$D$5+BC394</f>
        <v>769.4113496567993</v>
      </c>
      <c r="BF394">
        <f>Koordinaten!$D$6+BD394</f>
        <v>442.68674565238052</v>
      </c>
    </row>
    <row r="395" spans="54:58" x14ac:dyDescent="0.25">
      <c r="BB395">
        <f t="shared" si="51"/>
        <v>355</v>
      </c>
      <c r="BC395">
        <f t="shared" si="49"/>
        <v>288.89646244660622</v>
      </c>
      <c r="BD395">
        <f t="shared" si="50"/>
        <v>-25.275165396820913</v>
      </c>
      <c r="BE395">
        <f>Koordinaten!$D$5+BC395</f>
        <v>769.89646244660617</v>
      </c>
      <c r="BF395">
        <f>Koordinaten!$D$6+BD395</f>
        <v>447.72483460317909</v>
      </c>
    </row>
    <row r="396" spans="54:58" x14ac:dyDescent="0.25">
      <c r="BB396">
        <f t="shared" si="51"/>
        <v>356</v>
      </c>
      <c r="BC396">
        <f t="shared" si="49"/>
        <v>289.293574575349</v>
      </c>
      <c r="BD396">
        <f t="shared" si="50"/>
        <v>-20.229377385796433</v>
      </c>
      <c r="BE396">
        <f>Koordinaten!$D$5+BC396</f>
        <v>770.293574575349</v>
      </c>
      <c r="BF396">
        <f>Koordinaten!$D$6+BD396</f>
        <v>452.77062261420355</v>
      </c>
    </row>
    <row r="397" spans="54:58" x14ac:dyDescent="0.25">
      <c r="BB397">
        <f t="shared" si="51"/>
        <v>357</v>
      </c>
      <c r="BC397">
        <f t="shared" si="49"/>
        <v>289.60256507882639</v>
      </c>
      <c r="BD397">
        <f t="shared" si="50"/>
        <v>-15.177427310453867</v>
      </c>
      <c r="BE397">
        <f>Koordinaten!$D$5+BC397</f>
        <v>770.60256507882639</v>
      </c>
      <c r="BF397">
        <f>Koordinaten!$D$6+BD397</f>
        <v>457.82257268954612</v>
      </c>
    </row>
    <row r="398" spans="54:58" x14ac:dyDescent="0.25">
      <c r="BB398">
        <f t="shared" si="51"/>
        <v>358</v>
      </c>
      <c r="BC398">
        <f t="shared" si="49"/>
        <v>289.82333983553775</v>
      </c>
      <c r="BD398">
        <f t="shared" si="50"/>
        <v>-10.120854043725238</v>
      </c>
      <c r="BE398">
        <f>Koordinaten!$D$5+BC398</f>
        <v>770.82333983553781</v>
      </c>
      <c r="BF398">
        <f>Koordinaten!$D$6+BD398</f>
        <v>462.87914595627478</v>
      </c>
    </row>
    <row r="399" spans="54:58" x14ac:dyDescent="0.25">
      <c r="BB399">
        <f t="shared" si="51"/>
        <v>359</v>
      </c>
      <c r="BC399">
        <f t="shared" si="49"/>
        <v>289.95583159535346</v>
      </c>
      <c r="BD399">
        <f t="shared" si="50"/>
        <v>-5.0611978668122326</v>
      </c>
      <c r="BE399">
        <f>Koordinaten!$D$5+BC399</f>
        <v>770.9558315953534</v>
      </c>
      <c r="BF399">
        <f>Koordinaten!$D$6+BD399</f>
        <v>467.93880213318778</v>
      </c>
    </row>
    <row r="400" spans="54:58" x14ac:dyDescent="0.25">
      <c r="BB400">
        <f t="shared" si="51"/>
        <v>360</v>
      </c>
      <c r="BC400">
        <f t="shared" si="49"/>
        <v>290</v>
      </c>
      <c r="BD400">
        <f t="shared" si="50"/>
        <v>-7.1058610384699961E-14</v>
      </c>
      <c r="BE400">
        <f>Koordinaten!$D$5+BC400</f>
        <v>771</v>
      </c>
      <c r="BF400">
        <f>Koordinaten!$D$6+BD400</f>
        <v>472.99999999999994</v>
      </c>
    </row>
  </sheetData>
  <mergeCells count="12">
    <mergeCell ref="CM2:CS2"/>
    <mergeCell ref="CT2:CZ2"/>
    <mergeCell ref="H2:Q2"/>
    <mergeCell ref="S2:AB2"/>
    <mergeCell ref="DA2:DG2"/>
    <mergeCell ref="AP2:AV2"/>
    <mergeCell ref="AW2:BC2"/>
    <mergeCell ref="BD2:BJ2"/>
    <mergeCell ref="BK2:BQ2"/>
    <mergeCell ref="BR2:BX2"/>
    <mergeCell ref="BY2:CE2"/>
    <mergeCell ref="CF2:CL2"/>
  </mergeCells>
  <pageMargins left="0.7" right="0.7" top="0.78740157499999996" bottom="0.78740157499999996"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6981-C8A5-4B00-ACE3-5450522574AA}">
  <sheetPr codeName="Tabelle5"/>
  <dimension ref="A1"/>
  <sheetViews>
    <sheetView workbookViewId="0">
      <selection activeCell="J4" sqref="J4"/>
    </sheetView>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Koordinaten</vt:lpstr>
      <vt:lpstr>Erklärungen</vt:lpstr>
      <vt:lpstr>Flg Zeiten</vt: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Marcel</dc:creator>
  <cp:lastModifiedBy>Martin, Marcel</cp:lastModifiedBy>
  <dcterms:created xsi:type="dcterms:W3CDTF">2025-03-24T06:08:41Z</dcterms:created>
  <dcterms:modified xsi:type="dcterms:W3CDTF">2025-12-15T13:09:31Z</dcterms:modified>
</cp:coreProperties>
</file>